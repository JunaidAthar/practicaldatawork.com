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Ramp" sheetId="3" state="visible" r:id="rId5"/>
    <sheet name="Model" sheetId="4" state="visible" r:id="rId6"/>
    <sheet name="Sensitivity" sheetId="5" state="visible" r:id="rId7"/>
    <sheet name="Source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<sst xmlns="http://schemas.openxmlformats.org/spreadsheetml/2006/main" count="308" uniqueCount="210">
  <si>
    <t xml:space="preserve">MFP Refund Reconciliation — Unit Economics Summary</t>
  </si>
  <si>
    <t xml:space="preserve">Reconciliation + recovery for independent pharmacies (no refund advances). Change the scenario on Assumptions!E4.</t>
  </si>
  <si>
    <t xml:space="preserve">Scenario</t>
  </si>
  <si>
    <t xml:space="preserve">Metric</t>
  </si>
  <si>
    <t xml:space="preserve">Unit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</si>
  <si>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</si>
  <si>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</si>
  <si>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</si>
  <si>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</si>
  <si>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</si>
  <si>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Ending stores</t>
  </si>
  <si>
    <t xml:space="preserve">stores</t>
  </si>
  <si>
    <t xml:space="preserve">Ending Part B clinics</t>
  </si>
  <si>
    <t xml:space="preserve">clinics</t>
  </si>
  <si>
    <t xml:space="preserve">Net revenue</t>
  </si>
  <si>
    <t xml:space="preserve">$</t>
  </si>
  <si>
    <t xml:space="preserve">Gross margin</t>
  </si>
  <si>
    <t xml:space="preserve">%</t>
  </si>
  <si>
    <t xml:space="preserve">EBITDA</t>
  </si>
  <si>
    <t xml:space="preserve">EBITDA margin</t>
  </si>
  <si>
    <t xml:space="preserve">Cumulative cash from operations</t>
  </si>
  <si>
    <t xml:space="preserve">Our revenue per store</t>
  </si>
  <si>
    <t xml:space="preserve">$ / store / yr</t>
  </si>
  <si>
    <t xml:space="preserve">Recovered for each pharmacy</t>
  </si>
  <si>
    <t xml:space="preserve">Pharmacy return on fees paid</t>
  </si>
  <si>
    <t xml:space="preserve">x</t>
  </si>
  <si>
    <t xml:space="preserve">Total recovered for pharmacies</t>
  </si>
  <si>
    <t xml:space="preserve">Peak funding need</t>
  </si>
  <si>
    <t xml:space="preserve">Enterprise value at exit (2031)</t>
  </si>
  <si>
    <t xml:space="preserve">Founder equity value at exit</t>
  </si>
  <si>
    <t xml:space="preserve">How to use</t>
  </si>
  <si>
    <t xml:space="preserve">1. Set the scenario on Assumptions!E4 (1 = Low, 2 = Base, 3 = High).</t>
  </si>
  <si>
    <t xml:space="preserve">2. Edit blue cells on Assumptions and Ramp. Yellow cells are the biggest levers.</t>
  </si>
  <si>
    <t xml:space="preserve">3. Replace the leakage rate and Rx volume with pilot data as soon as you have it (Oswald's, NCPA interviews).</t>
  </si>
  <si>
    <t xml:space="preserve">4. Sensitivity tab shows 2029 results across leakage rate × subscription price.</t>
  </si>
  <si>
    <t xml:space="preserve">MFP Refund Reconciliation — Key Assumptions</t>
  </si>
  <si>
    <t xml:space="preserve">Reconciliation-only model (no refund advances). Blue = input; yellow = key lever; black = formula.</t>
  </si>
  <si>
    <t xml:space="preserve">Scenario selector</t>
  </si>
  <si>
    <t xml:space="preserve">1 = Low, 2 = Base, 3 = High</t>
  </si>
  <si>
    <t xml:space="preserve">Input</t>
  </si>
  <si>
    <t xml:space="preserve">Low</t>
  </si>
  <si>
    <t xml:space="preserve">Base</t>
  </si>
  <si>
    <t xml:space="preserve">High</t>
  </si>
  <si>
    <t xml:space="preserve">Selected</t>
  </si>
  <si>
    <t xml:space="preserve">Notes / source</t>
  </si>
  <si>
    <t xml:space="preserve">Refund volume (per store, 2026 drug list)</t>
  </si>
  <si>
    <t xml:space="preserve">Negotiated-drug (MFP) prescriptions per store per month</t>
  </si>
  <si>
    <t xml:space="preserve">Rx / month</t>
  </si>
  <si>
    <t xml:space="preserve">Estimate: ~1,000–1,200 Rx/wk store, ~35–45% Part D, MFP drugs a few % of Part D fills. Validate with pilot data.</t>
  </si>
  <si>
    <t xml:space="preserve">Average refund per MFP prescription</t>
  </si>
  <si>
    <t xml:space="preserve">$ / Rx</t>
  </si>
  <si>
    <t xml:space="preserve">WAC minus MFP. Eliquis 60 tabs ≈ $606 WAC − $231 MFP ≈ $375 (approx.).</t>
  </si>
  <si>
    <t xml:space="preserve">Recovery revenue</t>
  </si>
  <si>
    <t xml:space="preserve">Recoverable leakage, year 1 (% of refunds missing / wrong)</t>
  </si>
  <si>
    <t xml:space="preserve">% of refunds</t>
  </si>
  <si>
    <t xml:space="preserve">Plenful reports up to 20% missing for health systems (Apr 2026). We assume far less. #1 thing to validate.</t>
  </si>
  <si>
    <t xml:space="preserve">Annual decline in leakage rate (system matures)</t>
  </si>
  <si>
    <t xml:space="preserve">% / yr</t>
  </si>
  <si>
    <t xml:space="preserve">Assumes CMS/manufacturers fix errors over time. Low case = faster fix.</t>
  </si>
  <si>
    <t xml:space="preserve">Share of identified leakage actually recovered</t>
  </si>
  <si>
    <t xml:space="preserve">Good-faith inquiries + MTF complaints; some claims unrecoverable.</t>
  </si>
  <si>
    <t xml:space="preserve">Contingency fee on recovered dollars</t>
  </si>
  <si>
    <t xml:space="preserve">% of recovered</t>
  </si>
  <si>
    <t xml:space="preserve">Typical recovery/contingency pricing range.</t>
  </si>
  <si>
    <t xml:space="preserve">Subscription &amp; channel</t>
  </si>
  <si>
    <t xml:space="preserve">Monitoring subscription per store</t>
  </si>
  <si>
    <t xml:space="preserve">$ / month</t>
  </si>
  <si>
    <t xml:space="preserve">Claim-level reconciliation, aging, alerts, enrollment upkeep.</t>
  </si>
  <si>
    <t xml:space="preserve">Share of stores sourced through co-op channel (IPC etc.)</t>
  </si>
  <si>
    <t xml:space="preserve">% of stores</t>
  </si>
  <si>
    <t xml:space="preserve">Channel-heavy go-to-market.</t>
  </si>
  <si>
    <t xml:space="preserve">Co-op revenue share on channel stores</t>
  </si>
  <si>
    <t xml:space="preserve">% of store revenue</t>
  </si>
  <si>
    <t xml:space="preserve">Paid to co-op partner on subscription + recovery revenue.</t>
  </si>
  <si>
    <t xml:space="preserve">Part B clinic revenue (from 2028)</t>
  </si>
  <si>
    <t xml:space="preserve">$ / clinic / yr</t>
  </si>
  <si>
    <t xml:space="preserve">Part B drugs enter negotiation in 2028; clinics have larger refunds per claim. Effectuation details still being set by CMS.</t>
  </si>
  <si>
    <t xml:space="preserve">Cost of revenue</t>
  </si>
  <si>
    <t xml:space="preserve">Onboarding cost per new store</t>
  </si>
  <si>
    <t xml:space="preserve">$ / new store</t>
  </si>
  <si>
    <t xml:space="preserve">Data authorizations, PMS export setup, enrollment clean-up (staff hours).</t>
  </si>
  <si>
    <t xml:space="preserve">Data, hosting &amp; tooling per store</t>
  </si>
  <si>
    <t xml:space="preserve">$ / store / month</t>
  </si>
  <si>
    <t xml:space="preserve">Cloud, storage, SFTP, monitoring.</t>
  </si>
  <si>
    <t xml:space="preserve">Drug pricing database license (WAC)</t>
  </si>
  <si>
    <t xml:space="preserve">$ / yr</t>
  </si>
  <si>
    <t xml:space="preserve">Medi-Span / First Databank. Placeholder — get a quote.</t>
  </si>
  <si>
    <t xml:space="preserve">Stores supported per recovery / support analyst</t>
  </si>
  <si>
    <t xml:space="preserve">stores / FTE</t>
  </si>
  <si>
    <t xml:space="preserve">Exceptions, disputes, customer support.</t>
  </si>
  <si>
    <t xml:space="preserve">Loaded cost per analyst</t>
  </si>
  <si>
    <t xml:space="preserve">Salary + benefits + taxes.</t>
  </si>
  <si>
    <t xml:space="preserve">Operating costs</t>
  </si>
  <si>
    <t xml:space="preserve">Founder salary</t>
  </si>
  <si>
    <t xml:space="preserve">Your draw; edit freely.</t>
  </si>
  <si>
    <t xml:space="preserve">Loaded cost per engineer</t>
  </si>
  <si>
    <t xml:space="preserve">Headcount on Ramp tab.</t>
  </si>
  <si>
    <t xml:space="preserve">Loaded cost per channel / sales manager</t>
  </si>
  <si>
    <t xml:space="preserve">Acquisition cost per new direct (non-channel) store</t>
  </si>
  <si>
    <t xml:space="preserve">Travel, conferences, demos, free audits.</t>
  </si>
  <si>
    <t xml:space="preserve">Exit</t>
  </si>
  <si>
    <t xml:space="preserve">Exit multiple on final-year net revenue</t>
  </si>
  <si>
    <t xml:space="preserve">x revenue</t>
  </si>
  <si>
    <t xml:space="preserve">Vertical SaaS / tech-enabled services range. Illustrative only.</t>
  </si>
  <si>
    <t xml:space="preserve">Founder ownership at exit</t>
  </si>
  <si>
    <t xml:space="preserve">After advisor/co-founder equity and any raise.</t>
  </si>
  <si>
    <t xml:space="preserve">Ramp Inputs by Year</t>
  </si>
  <si>
    <t xml:space="preserve">Per-year inputs. Scenario rows feed the 'Selected' row via the selector on Assumptions.</t>
  </si>
  <si>
    <t xml:space="preserve">Notes</t>
  </si>
  <si>
    <t xml:space="preserve">Refund volume growth</t>
  </si>
  <si>
    <t xml:space="preserve">Refund volume vs. 2026 drug list</t>
  </si>
  <si>
    <t xml:space="preserve">x 2026</t>
  </si>
  <si>
    <t xml:space="preserve">2027 adds 15 drugs incl. Ozempic/Wegovy; later rounds add more. Assumption — refine with pilot data.</t>
  </si>
  <si>
    <t xml:space="preserve">Stores under contract (end of year)</t>
  </si>
  <si>
    <t xml:space="preserve">Ending stores — Low</t>
  </si>
  <si>
    <t xml:space="preserve">Ending stores — Base</t>
  </si>
  <si>
    <t xml:space="preserve">~19,000 independents in the US.</t>
  </si>
  <si>
    <t xml:space="preserve">Ending stores — High</t>
  </si>
  <si>
    <t xml:space="preserve">Ending stores — Selected</t>
  </si>
  <si>
    <t xml:space="preserve">Part B clinics under contract (end of year)</t>
  </si>
  <si>
    <t xml:space="preserve">Ending clinics — Low</t>
  </si>
  <si>
    <t xml:space="preserve">Ending clinics — Base</t>
  </si>
  <si>
    <t xml:space="preserve">Part B drugs enter the program in 2028.</t>
  </si>
  <si>
    <t xml:space="preserve">Ending clinics — High</t>
  </si>
  <si>
    <t xml:space="preserve">Ending clinics — Selected</t>
  </si>
  <si>
    <t xml:space="preserve">Team &amp; fixed costs</t>
  </si>
  <si>
    <t xml:space="preserve">Engineers (excluding founder)</t>
  </si>
  <si>
    <t xml:space="preserve">FTE</t>
  </si>
  <si>
    <t xml:space="preserve">You build v1 yourself.</t>
  </si>
  <si>
    <t xml:space="preserve">Channel / sales managers</t>
  </si>
  <si>
    <t xml:space="preserve">Pharmacist lead / advisor cost</t>
  </si>
  <si>
    <t xml:space="preserve">2027 = part-time advisor; full-time head of pharmacy ops from 2028.</t>
  </si>
  <si>
    <t xml:space="preserve">Legal, compliance &amp; security (HIPAA, SOC 2)</t>
  </si>
  <si>
    <t xml:space="preserve">Handling PHI: BAAs, audits, insurance.</t>
  </si>
  <si>
    <t xml:space="preserve">Marketing &amp; conferences</t>
  </si>
  <si>
    <t xml:space="preserve">NCPA, state associations, co-op events.</t>
  </si>
  <si>
    <t xml:space="preserve">G&amp;A (accounting, insurance, tools, office, travel)</t>
  </si>
  <si>
    <t xml:space="preserve">General overhead as the team grows.</t>
  </si>
  <si>
    <t xml:space="preserve">Five-Year Model — Reconciliation Only</t>
  </si>
  <si>
    <t xml:space="preserve">All figures in US$ unless noted. Green = link to another tab; black = calculation.</t>
  </si>
  <si>
    <t xml:space="preserve">Line item</t>
  </si>
  <si>
    <t xml:space="preserve">Customers</t>
  </si>
  <si>
    <t xml:space="preserve">Beginning stores</t>
  </si>
  <si>
    <t xml:space="preserve">New stores added (net)</t>
  </si>
  <si>
    <t xml:space="preserve">Average stores</t>
  </si>
  <si>
    <t xml:space="preserve">Average Part B clinics</t>
  </si>
  <si>
    <t xml:space="preserve">Per-store economics</t>
  </si>
  <si>
    <t xml:space="preserve">MFP refunds flowing to store</t>
  </si>
  <si>
    <t xml:space="preserve">Recoverable leakage rate</t>
  </si>
  <si>
    <t xml:space="preserve">Leakage identified</t>
  </si>
  <si>
    <t xml:space="preserve">Leakage recovered for store</t>
  </si>
  <si>
    <t xml:space="preserve">Our contingency revenue</t>
  </si>
  <si>
    <t xml:space="preserve">Our subscription revenue</t>
  </si>
  <si>
    <t xml:space="preserve">Our gross revenue per store</t>
  </si>
  <si>
    <t xml:space="preserve">Net gain to pharmacy (recovered − our fees)</t>
  </si>
  <si>
    <t xml:space="preserve">Revenue</t>
  </si>
  <si>
    <t xml:space="preserve">Subscription revenue</t>
  </si>
  <si>
    <t xml:space="preserve">Recovery (contingency) revenue</t>
  </si>
  <si>
    <t xml:space="preserve">Part B clinic revenue</t>
  </si>
  <si>
    <t xml:space="preserve">Gross revenue</t>
  </si>
  <si>
    <t xml:space="preserve">Less: co-op revenue share</t>
  </si>
  <si>
    <t xml:space="preserve">Net revenue growth</t>
  </si>
  <si>
    <t xml:space="preserve">Data, hosting &amp; tooling</t>
  </si>
  <si>
    <t xml:space="preserve">Drug pricing database license</t>
  </si>
  <si>
    <t xml:space="preserve">Onboarding</t>
  </si>
  <si>
    <t xml:space="preserve">Recovery / support analysts</t>
  </si>
  <si>
    <t xml:space="preserve">Analyst cost</t>
  </si>
  <si>
    <t xml:space="preserve">Total cost of revenue</t>
  </si>
  <si>
    <t xml:space="preserve">Gross profit</t>
  </si>
  <si>
    <t xml:space="preserve">Operating expenses</t>
  </si>
  <si>
    <t xml:space="preserve">Engineering</t>
  </si>
  <si>
    <t xml:space="preserve">Pharmacist lead / advisor</t>
  </si>
  <si>
    <t xml:space="preserve">Direct store acquisition</t>
  </si>
  <si>
    <t xml:space="preserve">Legal, compliance &amp; security</t>
  </si>
  <si>
    <t xml:space="preserve">G&amp;A</t>
  </si>
  <si>
    <t xml:space="preserve">Total operating expenses</t>
  </si>
  <si>
    <t xml:space="preserve">Impact &amp; value</t>
  </si>
  <si>
    <t xml:space="preserve">Total dollars recovered for pharmacies</t>
  </si>
  <si>
    <t xml:space="preserve">Net revenue per average store</t>
  </si>
  <si>
    <t xml:space="preserve">Peak funding need (lowest cumulative cash)</t>
  </si>
  <si>
    <t xml:space="preserve">Enterprise value at exit (2031 net revenue × multiple)</t>
  </si>
  <si>
    <t xml:space="preserve">Sensitivity — 2029 (Year 3)</t>
  </si>
  <si>
    <t xml:space="preserve">How net revenue and EBITDA move with the two biggest unknowns. Other inputs stay at the selected scenario.</t>
  </si>
  <si>
    <t xml:space="preserve">2029 net revenue ($)</t>
  </si>
  <si>
    <t xml:space="preserve">Year-1 leakage rate ↓  /  subscription $/mo →</t>
  </si>
  <si>
    <t xml:space="preserve">2029 EBITDA ($)</t>
  </si>
  <si>
    <t xml:space="preserve">Check: base cell should match Model when inputs equal the selected scenario.</t>
  </si>
  <si>
    <t xml:space="preserve">Sources &amp; Notes</t>
  </si>
  <si>
    <t xml:space="preserve">Fact</t>
  </si>
  <si>
    <t xml:space="preserve">Source</t>
  </si>
  <si>
    <t xml:space="preserve">NCPA survey (Feb 2026): 67% wait 22+ days for refunds; 78% have reconciliation trouble; 60% dipping into savings</t>
  </si>
  <si>
    <t xml:space="preserve">https://www.ncpa.co/pdf/2026/advocacy/mtfsurveyletter.pdf</t>
  </si>
  <si>
    <t xml:space="preserve">Plenful (Apr 2026): up to 20% of expected MFP refunds missing at health-system customers</t>
  </si>
  <si>
    <t xml:space="preserve">https://www.prnewswire.com/news-releases/plenful-unveils-mfp-command-center-to-help-health-systems-recover-up-to-20-in-missing-medicare-drug-price-refunds-302737691.html</t>
  </si>
  <si>
    <t xml:space="preserve">NCPA (Aug 2026): Beacon wrongly classifying claims as 340B (RARC N907)</t>
  </si>
  <si>
    <t xml:space="preserve">https://ncpa.org/newsroom/qam/2026/08/27/340b-miscategorization-stealing-your-mfp-refunds</t>
  </si>
  <si>
    <t xml:space="preserve">KFF: 2026 (10 drugs), 2027 (15 drugs incl. Ozempic/Wegovy), 2028 (15 incl. Part B)</t>
  </si>
  <si>
    <t xml:space="preserve">https://www.kff.org/medicare/key-facts-about-medicare-drug-price-negotiation/</t>
  </si>
  <si>
    <t xml:space="preserve">CMS MTF fact sheet: ~21-day average refund timeline; third-party vendor designation</t>
  </si>
  <si>
    <t xml:space="preserve">https://www.cms.gov/files/document/pharmacy-dispensing-entity-mtf-fact-sheet.pdf</t>
  </si>
  <si>
    <t xml:space="preserve">Beacon MFP FAQ: refund basis = WAC, wholesaler contract price, or 340B price; Resolution Center for disputes</t>
  </si>
  <si>
    <t xml:space="preserve">https://mfp.support.beaconchannelmanagement.com/en/articles/12313677-frequently-asked-questions</t>
  </si>
  <si>
    <t xml:space="preserve">USC Schaeffer: MFP effectuation data flow and 340B de-duplication challenges</t>
  </si>
  <si>
    <t xml:space="preserve">https://schaeffer.usc.edu/research/medicare-drug-prices-mfp-effectuation/</t>
  </si>
  <si>
    <t xml:space="preserve">Modeling notes</t>
  </si>
  <si>
    <t xml:space="preserve">All volume, pricing, cost and ramp figures are assumptions for planning, not sourced facts. Validate in the pilot.</t>
  </si>
  <si>
    <t xml:space="preserve">Ending store counts are net of churn.</t>
  </si>
  <si>
    <t xml:space="preserve">Co-op revenue share applies only to pharmacy revenue (subscription + recovery), not Part B clinics.</t>
  </si>
  <si>
    <t xml:space="preserve">Part B clinic revenue is a placeholder until CMS finalizes Part B effectuation for 2028.</t>
  </si>
  <si>
    <t xml:space="preserve">No refund advances / lending modeled. No taxes, interest, depreciation or outside financing modeled.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</si>
</sst>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;\(#,##0\);\-"/>
    <numFmt numFmtId="166" formatCode="\$#,##0;&quot;($&quot;#,##0\);\-"/>
    <numFmt numFmtId="167" formatCode="0.0%;\(0.0%\);\-"/>
    <numFmt numFmtId="168" formatCode="0.0\x"/>
    <numFmt numFmtId="169" formatCode="#,##0.0;\(#,##0.0\);\-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color theme="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8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008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u val="single"/>
      <sz val="11"/>
      <color rgb="FF0563C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ncpa.co/pdf/2026/advocacy/mtfsurveyletter.pdf" TargetMode="External"/><Relationship Id="rId2" Type="http://schemas.openxmlformats.org/officeDocument/2006/relationships/hyperlink" Target="https://www.prnewswire.com/news-releases/plenful-unveils-mfp-command-center-to-help-health-systems-recover-up-to-20-in-missing-medicare-drug-price-refunds-302737691.html" TargetMode="External"/><Relationship Id="rId3" Type="http://schemas.openxmlformats.org/officeDocument/2006/relationships/hyperlink" Target="https://ncpa.org/newsroom/qam/2026/08/27/340b-miscategorization-stealing-your-mfp-refunds" TargetMode="External"/><Relationship Id="rId4" Type="http://schemas.openxmlformats.org/officeDocument/2006/relationships/hyperlink" Target="https://www.kff.org/medicare/key-facts-about-medicare-drug-price-negotiation/" TargetMode="External"/><Relationship Id="rId5" Type="http://schemas.openxmlformats.org/officeDocument/2006/relationships/hyperlink" Target="https://www.cms.gov/files/document/pharmacy-dispensing-entity-mtf-fact-sheet.pdf" TargetMode="External"/><Relationship Id="rId6" Type="http://schemas.openxmlformats.org/officeDocument/2006/relationships/hyperlink" Target="https://mfp.support.beaconchannelmanagement.com/en/articles/12313677-frequently-asked-questions" TargetMode="External"/><Relationship Id="rId7" Type="http://schemas.openxmlformats.org/officeDocument/2006/relationships/hyperlink" Target="https://schaeffer.usc.edu/research/medicare-drug-prices-mfp-effectuation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2</v>
      </c>
      <c r="B4" s="2"/>
      <c r="C4" s="5" t="str">
        <f aca="false">CHOOSE(Assumptions!$E$4,"Low","Base","High")</f>
        <v>Base</v>
      </c>
      <c r="D4" s="2"/>
      <c r="E4" s="2"/>
      <c r="F4" s="2"/>
      <c r="G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6" t="s">
        <v>3</v>
      </c>
      <c r="B6" s="6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</row>
    <row r="7" customFormat="false" ht="15" hidden="false" customHeight="false" outlineLevel="0" collapsed="false">
      <c r="A7" s="8" t="s">
        <v>10</v>
      </c>
      <c r="B7" s="3" t="s">
        <v>11</v>
      </c>
      <c r="C7" s="9" t="n">
        <f aca="false">Model!C6</f>
        <v>300</v>
      </c>
      <c r="D7" s="9" t="n">
        <f aca="false">Model!D6</f>
        <v>1000</v>
      </c>
      <c r="E7" s="9" t="n">
        <f aca="false">Model!E6</f>
        <v>2000</v>
      </c>
      <c r="F7" s="9" t="n">
        <f aca="false">Model!F6</f>
        <v>3000</v>
      </c>
      <c r="G7" s="9" t="n">
        <f aca="false">Model!G6</f>
        <v>3500</v>
      </c>
    </row>
    <row r="8" customFormat="false" ht="15" hidden="false" customHeight="false" outlineLevel="0" collapsed="false">
      <c r="A8" s="8" t="s">
        <v>12</v>
      </c>
      <c r="B8" s="3" t="s">
        <v>13</v>
      </c>
      <c r="C8" s="9" t="n">
        <f aca="false">Model!C10</f>
        <v>0</v>
      </c>
      <c r="D8" s="9" t="n">
        <f aca="false">Model!D10</f>
        <v>25</v>
      </c>
      <c r="E8" s="9" t="n">
        <f aca="false">Model!E10</f>
        <v>100</v>
      </c>
      <c r="F8" s="9" t="n">
        <f aca="false">Model!F10</f>
        <v>250</v>
      </c>
      <c r="G8" s="9" t="n">
        <f aca="false">Model!G10</f>
        <v>400</v>
      </c>
    </row>
    <row r="9" customFormat="false" ht="15" hidden="false" customHeight="false" outlineLevel="0" collapsed="false">
      <c r="A9" s="8" t="s">
        <v>14</v>
      </c>
      <c r="B9" s="3" t="s">
        <v>15</v>
      </c>
      <c r="C9" s="10" t="n">
        <f aca="false">Model!C30</f>
        <v>980496</v>
      </c>
      <c r="D9" s="10" t="n">
        <f aca="false">Model!D30</f>
        <v>4333951.2</v>
      </c>
      <c r="E9" s="10" t="n">
        <f aca="false">Model!E30</f>
        <v>10150802.4</v>
      </c>
      <c r="F9" s="10" t="n">
        <f aca="false">Model!F30</f>
        <v>17227256.1</v>
      </c>
      <c r="G9" s="10" t="n">
        <f aca="false">Model!G30</f>
        <v>22392510.6795</v>
      </c>
    </row>
    <row r="10" customFormat="false" ht="15" hidden="false" customHeight="false" outlineLevel="0" collapsed="false">
      <c r="A10" s="8" t="s">
        <v>16</v>
      </c>
      <c r="B10" s="3" t="s">
        <v>17</v>
      </c>
      <c r="C10" s="11" t="n">
        <f aca="false">Model!C41</f>
        <v>0.768484522119417</v>
      </c>
      <c r="D10" s="11" t="n">
        <f aca="false">Model!D41</f>
        <v>0.864557773516232</v>
      </c>
      <c r="E10" s="11" t="n">
        <f aca="false">Model!E41</f>
        <v>0.896067329613273</v>
      </c>
      <c r="F10" s="11" t="n">
        <f aca="false">Model!F41</f>
        <v>0.91525057783288</v>
      </c>
      <c r="G10" s="11" t="n">
        <f aca="false">Model!G41</f>
        <v>0.925421493645692</v>
      </c>
    </row>
    <row r="11" customFormat="false" ht="15" hidden="false" customHeight="false" outlineLevel="0" collapsed="false">
      <c r="A11" s="8" t="s">
        <v>18</v>
      </c>
      <c r="B11" s="3" t="s">
        <v>15</v>
      </c>
      <c r="C11" s="10" t="n">
        <f aca="false">Model!C54</f>
        <v>43496</v>
      </c>
      <c r="D11" s="10" t="n">
        <f aca="false">Model!D54</f>
        <v>2356951.2</v>
      </c>
      <c r="E11" s="10" t="n">
        <f aca="false">Model!E54</f>
        <v>7110802.4</v>
      </c>
      <c r="F11" s="10" t="n">
        <f aca="false">Model!F54</f>
        <v>13447256.1</v>
      </c>
      <c r="G11" s="10" t="n">
        <f aca="false">Model!G54</f>
        <v>18127510.6795</v>
      </c>
    </row>
    <row r="12" customFormat="false" ht="15" hidden="false" customHeight="false" outlineLevel="0" collapsed="false">
      <c r="A12" s="8" t="s">
        <v>19</v>
      </c>
      <c r="B12" s="3" t="s">
        <v>17</v>
      </c>
      <c r="C12" s="11" t="n">
        <f aca="false">Model!C55</f>
        <v>0.0443612212594442</v>
      </c>
      <c r="D12" s="11" t="n">
        <f aca="false">Model!D55</f>
        <v>0.543834272983969</v>
      </c>
      <c r="E12" s="11" t="n">
        <f aca="false">Model!E55</f>
        <v>0.700516286279004</v>
      </c>
      <c r="F12" s="11" t="n">
        <f aca="false">Model!F55</f>
        <v>0.78058026315636</v>
      </c>
      <c r="G12" s="11" t="n">
        <f aca="false">Model!G55</f>
        <v>0.80953453317298</v>
      </c>
    </row>
    <row r="13" customFormat="false" ht="15" hidden="false" customHeight="false" outlineLevel="0" collapsed="false">
      <c r="A13" s="8" t="s">
        <v>20</v>
      </c>
      <c r="B13" s="3" t="s">
        <v>15</v>
      </c>
      <c r="C13" s="10" t="n">
        <f aca="false">Model!C56</f>
        <v>43496</v>
      </c>
      <c r="D13" s="10" t="n">
        <f aca="false">Model!D56</f>
        <v>2400447.2</v>
      </c>
      <c r="E13" s="10" t="n">
        <f aca="false">Model!E56</f>
        <v>9511249.6</v>
      </c>
      <c r="F13" s="10" t="n">
        <f aca="false">Model!F56</f>
        <v>22958505.7</v>
      </c>
      <c r="G13" s="10" t="n">
        <f aca="false">Model!G56</f>
        <v>41086016.3795</v>
      </c>
    </row>
    <row r="14" customFormat="false" ht="15" hidden="false" customHeight="false" outlineLevel="0" collapsed="false">
      <c r="A14" s="8" t="s">
        <v>21</v>
      </c>
      <c r="B14" s="3" t="s">
        <v>22</v>
      </c>
      <c r="C14" s="10" t="n">
        <f aca="false">Model!C20</f>
        <v>7428</v>
      </c>
      <c r="D14" s="10" t="n">
        <f aca="false">Model!D20</f>
        <v>7314.6</v>
      </c>
      <c r="E14" s="10" t="n">
        <f aca="false">Model!E20</f>
        <v>7121.82</v>
      </c>
      <c r="F14" s="10" t="n">
        <f aca="false">Model!F20</f>
        <v>6876.0255</v>
      </c>
      <c r="G14" s="10" t="n">
        <f aca="false">Model!G20</f>
        <v>6465.912825</v>
      </c>
    </row>
    <row r="15" customFormat="false" ht="15" hidden="false" customHeight="false" outlineLevel="0" collapsed="false">
      <c r="A15" s="8" t="s">
        <v>23</v>
      </c>
      <c r="B15" s="3" t="s">
        <v>22</v>
      </c>
      <c r="C15" s="10" t="n">
        <f aca="false">Model!C17</f>
        <v>20160</v>
      </c>
      <c r="D15" s="10" t="n">
        <f aca="false">Model!D17</f>
        <v>19706.4</v>
      </c>
      <c r="E15" s="10" t="n">
        <f aca="false">Model!E17</f>
        <v>18935.28</v>
      </c>
      <c r="F15" s="10" t="n">
        <f aca="false">Model!F17</f>
        <v>17952.102</v>
      </c>
      <c r="G15" s="10" t="n">
        <f aca="false">Model!G17</f>
        <v>16311.6513</v>
      </c>
    </row>
    <row r="16" customFormat="false" ht="15" hidden="false" customHeight="false" outlineLevel="0" collapsed="false">
      <c r="A16" s="8" t="s">
        <v>24</v>
      </c>
      <c r="B16" s="3" t="s">
        <v>25</v>
      </c>
      <c r="C16" s="12" t="n">
        <f aca="false">Model!C22</f>
        <v>2.7140549273021</v>
      </c>
      <c r="D16" s="12" t="n">
        <f aca="false">Model!D22</f>
        <v>2.69411861209089</v>
      </c>
      <c r="E16" s="12" t="n">
        <f aca="false">Model!E22</f>
        <v>2.658769808841</v>
      </c>
      <c r="F16" s="12" t="n">
        <f aca="false">Model!F22</f>
        <v>2.61082539615364</v>
      </c>
      <c r="G16" s="12" t="n">
        <f aca="false">Model!G22</f>
        <v>2.52271438565211</v>
      </c>
    </row>
    <row r="17" customFormat="false" ht="15" hidden="false" customHeight="false" outlineLevel="0" collapsed="false">
      <c r="A17" s="8" t="s">
        <v>26</v>
      </c>
      <c r="B17" s="3" t="s">
        <v>15</v>
      </c>
      <c r="C17" s="10" t="n">
        <f aca="false">Model!C59</f>
        <v>3024000</v>
      </c>
      <c r="D17" s="10" t="n">
        <f aca="false">Model!D59</f>
        <v>12809160</v>
      </c>
      <c r="E17" s="10" t="n">
        <f aca="false">Model!E59</f>
        <v>28402920</v>
      </c>
      <c r="F17" s="10" t="n">
        <f aca="false">Model!F59</f>
        <v>44880255</v>
      </c>
      <c r="G17" s="10" t="n">
        <f aca="false">Model!G59</f>
        <v>53012866.725</v>
      </c>
    </row>
    <row r="18" customFormat="false" ht="15" hidden="false" customHeight="false" outlineLevel="0" collapsed="false">
      <c r="A18" s="2"/>
      <c r="B18" s="2"/>
      <c r="C18" s="2"/>
      <c r="D18" s="2"/>
      <c r="E18" s="2"/>
      <c r="F18" s="2"/>
      <c r="G18" s="2"/>
    </row>
    <row r="19" customFormat="false" ht="15" hidden="false" customHeight="false" outlineLevel="0" collapsed="false">
      <c r="A19" s="4" t="s">
        <v>27</v>
      </c>
      <c r="B19" s="2"/>
      <c r="C19" s="13" t="n">
        <f aca="false">Model!C62</f>
        <v>0</v>
      </c>
      <c r="D19" s="2"/>
      <c r="E19" s="2"/>
      <c r="F19" s="2"/>
      <c r="G19" s="2"/>
    </row>
    <row r="20" customFormat="false" ht="15" hidden="false" customHeight="false" outlineLevel="0" collapsed="false">
      <c r="A20" s="4" t="s">
        <v>28</v>
      </c>
      <c r="B20" s="2"/>
      <c r="C20" s="13" t="n">
        <f aca="false">Model!C63</f>
        <v>78373787.37825</v>
      </c>
      <c r="D20" s="2"/>
      <c r="E20" s="2"/>
      <c r="F20" s="2"/>
      <c r="G20" s="2"/>
    </row>
    <row r="21" customFormat="false" ht="15" hidden="false" customHeight="false" outlineLevel="0" collapsed="false">
      <c r="A21" s="4" t="s">
        <v>29</v>
      </c>
      <c r="B21" s="2"/>
      <c r="C21" s="13" t="n">
        <f aca="false">Model!C64</f>
        <v>47024272.42695</v>
      </c>
      <c r="D21" s="2"/>
      <c r="E21" s="2"/>
      <c r="F21" s="2"/>
      <c r="G21" s="2"/>
    </row>
    <row r="22" customFormat="false" ht="15" hidden="false" customHeight="false" outlineLevel="0" collapsed="false">
      <c r="A22" s="2"/>
      <c r="B22" s="2"/>
      <c r="C22" s="2"/>
      <c r="D22" s="2"/>
      <c r="E22" s="2"/>
      <c r="F22" s="2"/>
      <c r="G22" s="2"/>
    </row>
    <row r="23" customFormat="false" ht="15" hidden="false" customHeight="false" outlineLevel="0" collapsed="false">
      <c r="A23" s="4" t="s">
        <v>30</v>
      </c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8" t="s">
        <v>31</v>
      </c>
      <c r="B24" s="2"/>
      <c r="C24" s="2"/>
      <c r="D24" s="2"/>
      <c r="E24" s="2"/>
      <c r="F24" s="2"/>
      <c r="G24" s="2"/>
    </row>
    <row r="25" customFormat="false" ht="15" hidden="false" customHeight="false" outlineLevel="0" collapsed="false">
      <c r="A25" s="8" t="s">
        <v>32</v>
      </c>
      <c r="B25" s="2"/>
      <c r="C25" s="2"/>
      <c r="D25" s="2"/>
      <c r="E25" s="2"/>
      <c r="F25" s="2"/>
      <c r="G25" s="2"/>
    </row>
    <row r="26" customFormat="false" ht="15" hidden="false" customHeight="false" outlineLevel="0" collapsed="false">
      <c r="A26" s="8" t="s">
        <v>33</v>
      </c>
      <c r="B26" s="2"/>
      <c r="C26" s="2"/>
      <c r="D26" s="2"/>
      <c r="E26" s="2"/>
      <c r="F26" s="2"/>
      <c r="G26" s="2"/>
    </row>
    <row r="27" customFormat="false" ht="15" hidden="false" customHeight="false" outlineLevel="0" collapsed="false">
      <c r="A27" s="8" t="s">
        <v>34</v>
      </c>
      <c r="B27" s="2"/>
      <c r="C27" s="2"/>
      <c r="D27" s="2"/>
      <c r="E27" s="2"/>
      <c r="F27" s="2"/>
      <c r="G27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6" topLeftCell="B7" activePane="bottomRight" state="frozen"/>
      <selection pane="topLeft" activeCell="A1" activeCellId="0" sqref="A1"/>
      <selection pane="topRight" activeCell="B1" activeCellId="0" sqref="B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12"/>
    <col collapsed="false" customWidth="true" hidden="false" outlineLevel="0" max="6" min="6" style="0" width="18"/>
    <col collapsed="false" customWidth="true" hidden="false" outlineLevel="0" max="7" min="7" style="0" width="95"/>
  </cols>
  <sheetData>
    <row r="1" customFormat="false" ht="17.35" hidden="false" customHeight="false" outlineLevel="0" collapsed="false">
      <c r="A1" s="1" t="s">
        <v>35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36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4" t="s">
        <v>37</v>
      </c>
      <c r="B4" s="2"/>
      <c r="C4" s="2"/>
      <c r="D4" s="2"/>
      <c r="E4" s="14" t="n">
        <v>2</v>
      </c>
      <c r="F4" s="3" t="s">
        <v>38</v>
      </c>
      <c r="G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</row>
    <row r="6" customFormat="false" ht="15" hidden="false" customHeight="false" outlineLevel="0" collapsed="false">
      <c r="A6" s="6" t="s">
        <v>39</v>
      </c>
      <c r="B6" s="7" t="s">
        <v>40</v>
      </c>
      <c r="C6" s="7" t="s">
        <v>41</v>
      </c>
      <c r="D6" s="7" t="s">
        <v>42</v>
      </c>
      <c r="E6" s="7" t="s">
        <v>43</v>
      </c>
      <c r="F6" s="7" t="s">
        <v>4</v>
      </c>
      <c r="G6" s="7" t="s">
        <v>44</v>
      </c>
    </row>
    <row r="7" customFormat="false" ht="15" hidden="false" customHeight="false" outlineLevel="0" collapsed="false">
      <c r="A7" s="15" t="s">
        <v>45</v>
      </c>
      <c r="B7" s="16"/>
      <c r="C7" s="16"/>
      <c r="D7" s="16"/>
      <c r="E7" s="16"/>
      <c r="F7" s="16"/>
      <c r="G7" s="16"/>
    </row>
    <row r="8" customFormat="false" ht="15" hidden="false" customHeight="false" outlineLevel="0" collapsed="false">
      <c r="A8" s="8" t="s">
        <v>46</v>
      </c>
      <c r="B8" s="17" t="n">
        <v>50</v>
      </c>
      <c r="C8" s="17" t="n">
        <v>80</v>
      </c>
      <c r="D8" s="17" t="n">
        <v>110</v>
      </c>
      <c r="E8" s="18" t="n">
        <f aca="false">CHOOSE(Assumptions!$E$4,B8,C8,D8)</f>
        <v>80</v>
      </c>
      <c r="F8" s="3" t="s">
        <v>47</v>
      </c>
      <c r="G8" s="3" t="s">
        <v>48</v>
      </c>
    </row>
    <row r="9" customFormat="false" ht="15" hidden="false" customHeight="false" outlineLevel="0" collapsed="false">
      <c r="A9" s="8" t="s">
        <v>49</v>
      </c>
      <c r="B9" s="19" t="n">
        <v>300</v>
      </c>
      <c r="C9" s="19" t="n">
        <v>375</v>
      </c>
      <c r="D9" s="19" t="n">
        <v>450</v>
      </c>
      <c r="E9" s="20" t="n">
        <f aca="false">CHOOSE(Assumptions!$E$4,B9,C9,D9)</f>
        <v>375</v>
      </c>
      <c r="F9" s="3" t="s">
        <v>50</v>
      </c>
      <c r="G9" s="3" t="s">
        <v>51</v>
      </c>
    </row>
    <row r="10" customFormat="false" ht="15" hidden="false" customHeight="false" outlineLevel="0" collapsed="false">
      <c r="A10" s="15" t="s">
        <v>52</v>
      </c>
      <c r="B10" s="16"/>
      <c r="C10" s="16"/>
      <c r="D10" s="16"/>
      <c r="E10" s="16"/>
      <c r="F10" s="16"/>
      <c r="G10" s="16"/>
    </row>
    <row r="11" customFormat="false" ht="15" hidden="false" customHeight="false" outlineLevel="0" collapsed="false">
      <c r="A11" s="8" t="s">
        <v>53</v>
      </c>
      <c r="B11" s="21" t="n">
        <v>0.02</v>
      </c>
      <c r="C11" s="21" t="n">
        <v>0.04</v>
      </c>
      <c r="D11" s="21" t="n">
        <v>0.07</v>
      </c>
      <c r="E11" s="22" t="n">
        <f aca="false">CHOOSE(Assumptions!$E$4,B11,C11,D11)</f>
        <v>0.04</v>
      </c>
      <c r="F11" s="3" t="s">
        <v>54</v>
      </c>
      <c r="G11" s="3" t="s">
        <v>55</v>
      </c>
    </row>
    <row r="12" customFormat="false" ht="15" hidden="false" customHeight="false" outlineLevel="0" collapsed="false">
      <c r="A12" s="8" t="s">
        <v>56</v>
      </c>
      <c r="B12" s="23" t="n">
        <v>0.25</v>
      </c>
      <c r="C12" s="23" t="n">
        <v>0.15</v>
      </c>
      <c r="D12" s="23" t="n">
        <v>0.1</v>
      </c>
      <c r="E12" s="22" t="n">
        <f aca="false">CHOOSE(Assumptions!$E$4,B12,C12,D12)</f>
        <v>0.15</v>
      </c>
      <c r="F12" s="3" t="s">
        <v>57</v>
      </c>
      <c r="G12" s="3" t="s">
        <v>58</v>
      </c>
    </row>
    <row r="13" customFormat="false" ht="15" hidden="false" customHeight="false" outlineLevel="0" collapsed="false">
      <c r="A13" s="8" t="s">
        <v>59</v>
      </c>
      <c r="B13" s="23" t="n">
        <v>0.6</v>
      </c>
      <c r="C13" s="23" t="n">
        <v>0.7</v>
      </c>
      <c r="D13" s="23" t="n">
        <v>0.8</v>
      </c>
      <c r="E13" s="22" t="n">
        <f aca="false">CHOOSE(Assumptions!$E$4,B13,C13,D13)</f>
        <v>0.7</v>
      </c>
      <c r="F13" s="3" t="s">
        <v>17</v>
      </c>
      <c r="G13" s="3" t="s">
        <v>60</v>
      </c>
    </row>
    <row r="14" customFormat="false" ht="15" hidden="false" customHeight="false" outlineLevel="0" collapsed="false">
      <c r="A14" s="8" t="s">
        <v>61</v>
      </c>
      <c r="B14" s="21" t="n">
        <v>0.2</v>
      </c>
      <c r="C14" s="21" t="n">
        <v>0.25</v>
      </c>
      <c r="D14" s="21" t="n">
        <v>0.3</v>
      </c>
      <c r="E14" s="22" t="n">
        <f aca="false">CHOOSE(Assumptions!$E$4,B14,C14,D14)</f>
        <v>0.25</v>
      </c>
      <c r="F14" s="3" t="s">
        <v>62</v>
      </c>
      <c r="G14" s="3" t="s">
        <v>63</v>
      </c>
    </row>
    <row r="15" customFormat="false" ht="15" hidden="false" customHeight="false" outlineLevel="0" collapsed="false">
      <c r="A15" s="15" t="s">
        <v>64</v>
      </c>
      <c r="B15" s="16"/>
      <c r="C15" s="16"/>
      <c r="D15" s="16"/>
      <c r="E15" s="16"/>
      <c r="F15" s="16"/>
      <c r="G15" s="16"/>
    </row>
    <row r="16" customFormat="false" ht="15" hidden="false" customHeight="false" outlineLevel="0" collapsed="false">
      <c r="A16" s="8" t="s">
        <v>65</v>
      </c>
      <c r="B16" s="24" t="n">
        <v>149</v>
      </c>
      <c r="C16" s="24" t="n">
        <v>199</v>
      </c>
      <c r="D16" s="24" t="n">
        <v>249</v>
      </c>
      <c r="E16" s="20" t="n">
        <f aca="false">CHOOSE(Assumptions!$E$4,B16,C16,D16)</f>
        <v>199</v>
      </c>
      <c r="F16" s="3" t="s">
        <v>66</v>
      </c>
      <c r="G16" s="3" t="s">
        <v>67</v>
      </c>
    </row>
    <row r="17" customFormat="false" ht="15" hidden="false" customHeight="false" outlineLevel="0" collapsed="false">
      <c r="A17" s="8" t="s">
        <v>68</v>
      </c>
      <c r="B17" s="23" t="n">
        <v>0.7</v>
      </c>
      <c r="C17" s="23" t="n">
        <v>0.6</v>
      </c>
      <c r="D17" s="23" t="n">
        <v>0.5</v>
      </c>
      <c r="E17" s="22" t="n">
        <f aca="false">CHOOSE(Assumptions!$E$4,B17,C17,D17)</f>
        <v>0.6</v>
      </c>
      <c r="F17" s="3" t="s">
        <v>69</v>
      </c>
      <c r="G17" s="3" t="s">
        <v>70</v>
      </c>
    </row>
    <row r="18" customFormat="false" ht="15" hidden="false" customHeight="false" outlineLevel="0" collapsed="false">
      <c r="A18" s="8" t="s">
        <v>71</v>
      </c>
      <c r="B18" s="23" t="n">
        <v>0.25</v>
      </c>
      <c r="C18" s="23" t="n">
        <v>0.2</v>
      </c>
      <c r="D18" s="23" t="n">
        <v>0.15</v>
      </c>
      <c r="E18" s="22" t="n">
        <f aca="false">CHOOSE(Assumptions!$E$4,B18,C18,D18)</f>
        <v>0.2</v>
      </c>
      <c r="F18" s="3" t="s">
        <v>72</v>
      </c>
      <c r="G18" s="3" t="s">
        <v>73</v>
      </c>
    </row>
    <row r="19" customFormat="false" ht="15" hidden="false" customHeight="false" outlineLevel="0" collapsed="false">
      <c r="A19" s="8" t="s">
        <v>74</v>
      </c>
      <c r="B19" s="19" t="n">
        <v>8000</v>
      </c>
      <c r="C19" s="19" t="n">
        <v>12000</v>
      </c>
      <c r="D19" s="19" t="n">
        <v>18000</v>
      </c>
      <c r="E19" s="20" t="n">
        <f aca="false">CHOOSE(Assumptions!$E$4,B19,C19,D19)</f>
        <v>12000</v>
      </c>
      <c r="F19" s="3" t="s">
        <v>75</v>
      </c>
      <c r="G19" s="3" t="s">
        <v>76</v>
      </c>
    </row>
    <row r="20" customFormat="false" ht="15" hidden="false" customHeight="false" outlineLevel="0" collapsed="false">
      <c r="A20" s="15" t="s">
        <v>77</v>
      </c>
      <c r="B20" s="16"/>
      <c r="C20" s="16"/>
      <c r="D20" s="16"/>
      <c r="E20" s="16"/>
      <c r="F20" s="16"/>
      <c r="G20" s="16"/>
    </row>
    <row r="21" customFormat="false" ht="15" hidden="false" customHeight="false" outlineLevel="0" collapsed="false">
      <c r="A21" s="8" t="s">
        <v>78</v>
      </c>
      <c r="B21" s="19" t="n">
        <v>400</v>
      </c>
      <c r="C21" s="19" t="n">
        <v>300</v>
      </c>
      <c r="D21" s="19" t="n">
        <v>200</v>
      </c>
      <c r="E21" s="20" t="n">
        <f aca="false">CHOOSE(Assumptions!$E$4,B21,C21,D21)</f>
        <v>300</v>
      </c>
      <c r="F21" s="3" t="s">
        <v>79</v>
      </c>
      <c r="G21" s="3" t="s">
        <v>80</v>
      </c>
    </row>
    <row r="22" customFormat="false" ht="15" hidden="false" customHeight="false" outlineLevel="0" collapsed="false">
      <c r="A22" s="8" t="s">
        <v>81</v>
      </c>
      <c r="B22" s="19" t="n">
        <v>20</v>
      </c>
      <c r="C22" s="19" t="n">
        <v>15</v>
      </c>
      <c r="D22" s="19" t="n">
        <v>10</v>
      </c>
      <c r="E22" s="20" t="n">
        <f aca="false">CHOOSE(Assumptions!$E$4,B22,C22,D22)</f>
        <v>15</v>
      </c>
      <c r="F22" s="3" t="s">
        <v>82</v>
      </c>
      <c r="G22" s="3" t="s">
        <v>83</v>
      </c>
    </row>
    <row r="23" customFormat="false" ht="15" hidden="false" customHeight="false" outlineLevel="0" collapsed="false">
      <c r="A23" s="8" t="s">
        <v>84</v>
      </c>
      <c r="B23" s="19" t="n">
        <v>50000</v>
      </c>
      <c r="C23" s="19" t="n">
        <v>35000</v>
      </c>
      <c r="D23" s="19" t="n">
        <v>25000</v>
      </c>
      <c r="E23" s="20" t="n">
        <f aca="false">CHOOSE(Assumptions!$E$4,B23,C23,D23)</f>
        <v>35000</v>
      </c>
      <c r="F23" s="3" t="s">
        <v>85</v>
      </c>
      <c r="G23" s="3" t="s">
        <v>86</v>
      </c>
    </row>
    <row r="24" customFormat="false" ht="15" hidden="false" customHeight="false" outlineLevel="0" collapsed="false">
      <c r="A24" s="8" t="s">
        <v>87</v>
      </c>
      <c r="B24" s="25" t="n">
        <v>200</v>
      </c>
      <c r="C24" s="25" t="n">
        <v>300</v>
      </c>
      <c r="D24" s="25" t="n">
        <v>400</v>
      </c>
      <c r="E24" s="18" t="n">
        <f aca="false">CHOOSE(Assumptions!$E$4,B24,C24,D24)</f>
        <v>300</v>
      </c>
      <c r="F24" s="3" t="s">
        <v>88</v>
      </c>
      <c r="G24" s="3" t="s">
        <v>89</v>
      </c>
    </row>
    <row r="25" customFormat="false" ht="15" hidden="false" customHeight="false" outlineLevel="0" collapsed="false">
      <c r="A25" s="8" t="s">
        <v>90</v>
      </c>
      <c r="B25" s="19" t="n">
        <v>80000</v>
      </c>
      <c r="C25" s="19" t="n">
        <v>75000</v>
      </c>
      <c r="D25" s="19" t="n">
        <v>70000</v>
      </c>
      <c r="E25" s="20" t="n">
        <f aca="false">CHOOSE(Assumptions!$E$4,B25,C25,D25)</f>
        <v>75000</v>
      </c>
      <c r="F25" s="3" t="s">
        <v>85</v>
      </c>
      <c r="G25" s="3" t="s">
        <v>91</v>
      </c>
    </row>
    <row r="26" customFormat="false" ht="15" hidden="false" customHeight="false" outlineLevel="0" collapsed="false">
      <c r="A26" s="15" t="s">
        <v>92</v>
      </c>
      <c r="B26" s="16"/>
      <c r="C26" s="16"/>
      <c r="D26" s="16"/>
      <c r="E26" s="16"/>
      <c r="F26" s="16"/>
      <c r="G26" s="16"/>
    </row>
    <row r="27" customFormat="false" ht="15" hidden="false" customHeight="false" outlineLevel="0" collapsed="false">
      <c r="A27" s="8" t="s">
        <v>93</v>
      </c>
      <c r="B27" s="19" t="n">
        <v>120000</v>
      </c>
      <c r="C27" s="19" t="n">
        <v>120000</v>
      </c>
      <c r="D27" s="19" t="n">
        <v>120000</v>
      </c>
      <c r="E27" s="20" t="n">
        <f aca="false">CHOOSE(Assumptions!$E$4,B27,C27,D27)</f>
        <v>120000</v>
      </c>
      <c r="F27" s="3" t="s">
        <v>85</v>
      </c>
      <c r="G27" s="3" t="s">
        <v>94</v>
      </c>
    </row>
    <row r="28" customFormat="false" ht="15" hidden="false" customHeight="false" outlineLevel="0" collapsed="false">
      <c r="A28" s="8" t="s">
        <v>95</v>
      </c>
      <c r="B28" s="19" t="n">
        <v>190000</v>
      </c>
      <c r="C28" s="19" t="n">
        <v>180000</v>
      </c>
      <c r="D28" s="19" t="n">
        <v>170000</v>
      </c>
      <c r="E28" s="20" t="n">
        <f aca="false">CHOOSE(Assumptions!$E$4,B28,C28,D28)</f>
        <v>180000</v>
      </c>
      <c r="F28" s="3" t="s">
        <v>85</v>
      </c>
      <c r="G28" s="3" t="s">
        <v>96</v>
      </c>
    </row>
    <row r="29" customFormat="false" ht="15" hidden="false" customHeight="false" outlineLevel="0" collapsed="false">
      <c r="A29" s="8" t="s">
        <v>97</v>
      </c>
      <c r="B29" s="19" t="n">
        <v>150000</v>
      </c>
      <c r="C29" s="19" t="n">
        <v>140000</v>
      </c>
      <c r="D29" s="19" t="n">
        <v>130000</v>
      </c>
      <c r="E29" s="20" t="n">
        <f aca="false">CHOOSE(Assumptions!$E$4,B29,C29,D29)</f>
        <v>140000</v>
      </c>
      <c r="F29" s="3" t="s">
        <v>85</v>
      </c>
      <c r="G29" s="3" t="s">
        <v>96</v>
      </c>
    </row>
    <row r="30" customFormat="false" ht="15" hidden="false" customHeight="false" outlineLevel="0" collapsed="false">
      <c r="A30" s="8" t="s">
        <v>98</v>
      </c>
      <c r="B30" s="19" t="n">
        <v>1500</v>
      </c>
      <c r="C30" s="19" t="n">
        <v>1000</v>
      </c>
      <c r="D30" s="19" t="n">
        <v>600</v>
      </c>
      <c r="E30" s="20" t="n">
        <f aca="false">CHOOSE(Assumptions!$E$4,B30,C30,D30)</f>
        <v>1000</v>
      </c>
      <c r="F30" s="3" t="s">
        <v>79</v>
      </c>
      <c r="G30" s="3" t="s">
        <v>99</v>
      </c>
    </row>
    <row r="31" customFormat="false" ht="15" hidden="false" customHeight="false" outlineLevel="0" collapsed="false">
      <c r="A31" s="15" t="s">
        <v>100</v>
      </c>
      <c r="B31" s="16"/>
      <c r="C31" s="16"/>
      <c r="D31" s="16"/>
      <c r="E31" s="16"/>
      <c r="F31" s="16"/>
      <c r="G31" s="16"/>
    </row>
    <row r="32" customFormat="false" ht="15" hidden="false" customHeight="false" outlineLevel="0" collapsed="false">
      <c r="A32" s="8" t="s">
        <v>101</v>
      </c>
      <c r="B32" s="26" t="n">
        <v>2</v>
      </c>
      <c r="C32" s="26" t="n">
        <v>3.5</v>
      </c>
      <c r="D32" s="26" t="n">
        <v>5</v>
      </c>
      <c r="E32" s="27" t="n">
        <f aca="false">CHOOSE(Assumptions!$E$4,B32,C32,D32)</f>
        <v>3.5</v>
      </c>
      <c r="F32" s="3" t="s">
        <v>102</v>
      </c>
      <c r="G32" s="3" t="s">
        <v>103</v>
      </c>
    </row>
    <row r="33" customFormat="false" ht="15" hidden="false" customHeight="false" outlineLevel="0" collapsed="false">
      <c r="A33" s="8" t="s">
        <v>104</v>
      </c>
      <c r="B33" s="23" t="n">
        <v>0.5</v>
      </c>
      <c r="C33" s="23" t="n">
        <v>0.6</v>
      </c>
      <c r="D33" s="23" t="n">
        <v>0.7</v>
      </c>
      <c r="E33" s="22" t="n">
        <f aca="false">CHOOSE(Assumptions!$E$4,B33,C33,D33)</f>
        <v>0.6</v>
      </c>
      <c r="F33" s="3" t="s">
        <v>17</v>
      </c>
      <c r="G33" s="3" t="s">
        <v>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7" min="3" style="0" width="13"/>
    <col collapsed="false" customWidth="true" hidden="false" outlineLevel="0" max="8" min="8" style="0" width="80"/>
  </cols>
  <sheetData>
    <row r="1" customFormat="false" ht="17.35" hidden="false" customHeight="false" outlineLevel="0" collapsed="false">
      <c r="A1" s="1" t="s">
        <v>106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107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6" t="s">
        <v>39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  <c r="H4" s="6" t="s">
        <v>108</v>
      </c>
    </row>
    <row r="5" customFormat="false" ht="15" hidden="false" customHeight="false" outlineLevel="0" collapsed="false">
      <c r="A5" s="15" t="s">
        <v>109</v>
      </c>
      <c r="B5" s="16"/>
      <c r="C5" s="16"/>
      <c r="D5" s="16"/>
      <c r="E5" s="16"/>
      <c r="F5" s="16"/>
      <c r="G5" s="16"/>
      <c r="H5" s="16"/>
    </row>
    <row r="6" customFormat="false" ht="15" hidden="false" customHeight="false" outlineLevel="0" collapsed="false">
      <c r="A6" s="8" t="s">
        <v>110</v>
      </c>
      <c r="B6" s="3" t="s">
        <v>111</v>
      </c>
      <c r="C6" s="28" t="n">
        <v>2</v>
      </c>
      <c r="D6" s="28" t="n">
        <v>2.3</v>
      </c>
      <c r="E6" s="28" t="n">
        <v>2.6</v>
      </c>
      <c r="F6" s="28" t="n">
        <v>2.9</v>
      </c>
      <c r="G6" s="28" t="n">
        <v>3.1</v>
      </c>
      <c r="H6" s="3" t="s">
        <v>112</v>
      </c>
    </row>
    <row r="7" customFormat="false" ht="15" hidden="false" customHeight="false" outlineLevel="0" collapsed="false">
      <c r="A7" s="2"/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15" t="s">
        <v>113</v>
      </c>
      <c r="B8" s="16"/>
      <c r="C8" s="16"/>
      <c r="D8" s="16"/>
      <c r="E8" s="16"/>
      <c r="F8" s="16"/>
      <c r="G8" s="16"/>
      <c r="H8" s="16"/>
    </row>
    <row r="9" customFormat="false" ht="15" hidden="false" customHeight="false" outlineLevel="0" collapsed="false">
      <c r="A9" s="8" t="s">
        <v>114</v>
      </c>
      <c r="B9" s="3" t="s">
        <v>11</v>
      </c>
      <c r="C9" s="25" t="n">
        <v>150</v>
      </c>
      <c r="D9" s="25" t="n">
        <v>400</v>
      </c>
      <c r="E9" s="25" t="n">
        <v>800</v>
      </c>
      <c r="F9" s="25" t="n">
        <v>1200</v>
      </c>
      <c r="G9" s="25" t="n">
        <v>1500</v>
      </c>
      <c r="H9" s="3"/>
    </row>
    <row r="10" customFormat="false" ht="15" hidden="false" customHeight="false" outlineLevel="0" collapsed="false">
      <c r="A10" s="8" t="s">
        <v>115</v>
      </c>
      <c r="B10" s="3" t="s">
        <v>11</v>
      </c>
      <c r="C10" s="17" t="n">
        <v>300</v>
      </c>
      <c r="D10" s="17" t="n">
        <v>1000</v>
      </c>
      <c r="E10" s="17" t="n">
        <v>2000</v>
      </c>
      <c r="F10" s="17" t="n">
        <v>3000</v>
      </c>
      <c r="G10" s="17" t="n">
        <v>3500</v>
      </c>
      <c r="H10" s="3" t="s">
        <v>116</v>
      </c>
    </row>
    <row r="11" customFormat="false" ht="15" hidden="false" customHeight="false" outlineLevel="0" collapsed="false">
      <c r="A11" s="8" t="s">
        <v>117</v>
      </c>
      <c r="B11" s="3" t="s">
        <v>11</v>
      </c>
      <c r="C11" s="25" t="n">
        <v>500</v>
      </c>
      <c r="D11" s="25" t="n">
        <v>1800</v>
      </c>
      <c r="E11" s="25" t="n">
        <v>3500</v>
      </c>
      <c r="F11" s="25" t="n">
        <v>5000</v>
      </c>
      <c r="G11" s="25" t="n">
        <v>6000</v>
      </c>
      <c r="H11" s="3"/>
    </row>
    <row r="12" customFormat="false" ht="15" hidden="false" customHeight="false" outlineLevel="0" collapsed="false">
      <c r="A12" s="4" t="s">
        <v>118</v>
      </c>
      <c r="B12" s="3" t="s">
        <v>11</v>
      </c>
      <c r="C12" s="18" t="n">
        <f aca="false">CHOOSE(Assumptions!$E$4,C9,C10,C11)</f>
        <v>300</v>
      </c>
      <c r="D12" s="18" t="n">
        <f aca="false">CHOOSE(Assumptions!$E$4,D9,D10,D11)</f>
        <v>1000</v>
      </c>
      <c r="E12" s="18" t="n">
        <f aca="false">CHOOSE(Assumptions!$E$4,E9,E10,E11)</f>
        <v>2000</v>
      </c>
      <c r="F12" s="18" t="n">
        <f aca="false">CHOOSE(Assumptions!$E$4,F9,F10,F11)</f>
        <v>3000</v>
      </c>
      <c r="G12" s="18" t="n">
        <f aca="false">CHOOSE(Assumptions!$E$4,G9,G10,G11)</f>
        <v>3500</v>
      </c>
      <c r="H12" s="2"/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  <c r="G13" s="2"/>
      <c r="H13" s="2"/>
    </row>
    <row r="14" customFormat="false" ht="15" hidden="false" customHeight="false" outlineLevel="0" collapsed="false">
      <c r="A14" s="15" t="s">
        <v>119</v>
      </c>
      <c r="B14" s="16"/>
      <c r="C14" s="16"/>
      <c r="D14" s="16"/>
      <c r="E14" s="16"/>
      <c r="F14" s="16"/>
      <c r="G14" s="16"/>
      <c r="H14" s="16"/>
    </row>
    <row r="15" customFormat="false" ht="15" hidden="false" customHeight="false" outlineLevel="0" collapsed="false">
      <c r="A15" s="8" t="s">
        <v>120</v>
      </c>
      <c r="B15" s="3" t="s">
        <v>13</v>
      </c>
      <c r="C15" s="25" t="n">
        <v>0</v>
      </c>
      <c r="D15" s="25" t="n">
        <v>10</v>
      </c>
      <c r="E15" s="25" t="n">
        <v>40</v>
      </c>
      <c r="F15" s="25" t="n">
        <v>100</v>
      </c>
      <c r="G15" s="25" t="n">
        <v>150</v>
      </c>
      <c r="H15" s="3"/>
    </row>
    <row r="16" customFormat="false" ht="15" hidden="false" customHeight="false" outlineLevel="0" collapsed="false">
      <c r="A16" s="8" t="s">
        <v>121</v>
      </c>
      <c r="B16" s="3" t="s">
        <v>13</v>
      </c>
      <c r="C16" s="25" t="n">
        <v>0</v>
      </c>
      <c r="D16" s="25" t="n">
        <v>25</v>
      </c>
      <c r="E16" s="25" t="n">
        <v>100</v>
      </c>
      <c r="F16" s="25" t="n">
        <v>250</v>
      </c>
      <c r="G16" s="25" t="n">
        <v>400</v>
      </c>
      <c r="H16" s="3" t="s">
        <v>122</v>
      </c>
    </row>
    <row r="17" customFormat="false" ht="15" hidden="false" customHeight="false" outlineLevel="0" collapsed="false">
      <c r="A17" s="8" t="s">
        <v>123</v>
      </c>
      <c r="B17" s="3" t="s">
        <v>13</v>
      </c>
      <c r="C17" s="25" t="n">
        <v>0</v>
      </c>
      <c r="D17" s="25" t="n">
        <v>50</v>
      </c>
      <c r="E17" s="25" t="n">
        <v>200</v>
      </c>
      <c r="F17" s="25" t="n">
        <v>450</v>
      </c>
      <c r="G17" s="25" t="n">
        <v>700</v>
      </c>
      <c r="H17" s="3"/>
    </row>
    <row r="18" customFormat="false" ht="15" hidden="false" customHeight="false" outlineLevel="0" collapsed="false">
      <c r="A18" s="4" t="s">
        <v>124</v>
      </c>
      <c r="B18" s="3" t="s">
        <v>13</v>
      </c>
      <c r="C18" s="18" t="n">
        <f aca="false">CHOOSE(Assumptions!$E$4,C15,C16,C17)</f>
        <v>0</v>
      </c>
      <c r="D18" s="18" t="n">
        <f aca="false">CHOOSE(Assumptions!$E$4,D15,D16,D17)</f>
        <v>25</v>
      </c>
      <c r="E18" s="18" t="n">
        <f aca="false">CHOOSE(Assumptions!$E$4,E15,E16,E17)</f>
        <v>100</v>
      </c>
      <c r="F18" s="18" t="n">
        <f aca="false">CHOOSE(Assumptions!$E$4,F15,F16,F17)</f>
        <v>250</v>
      </c>
      <c r="G18" s="18" t="n">
        <f aca="false">CHOOSE(Assumptions!$E$4,G15,G16,G17)</f>
        <v>400</v>
      </c>
      <c r="H18" s="2"/>
    </row>
    <row r="19" customFormat="false" ht="15" hidden="false" customHeight="false" outlineLevel="0" collapsed="false">
      <c r="A19" s="2"/>
      <c r="B19" s="2"/>
      <c r="C19" s="2"/>
      <c r="D19" s="2"/>
      <c r="E19" s="2"/>
      <c r="F19" s="2"/>
      <c r="G19" s="2"/>
      <c r="H19" s="2"/>
    </row>
    <row r="20" customFormat="false" ht="15" hidden="false" customHeight="false" outlineLevel="0" collapsed="false">
      <c r="A20" s="15" t="s">
        <v>125</v>
      </c>
      <c r="B20" s="16"/>
      <c r="C20" s="16"/>
      <c r="D20" s="16"/>
      <c r="E20" s="16"/>
      <c r="F20" s="16"/>
      <c r="G20" s="16"/>
      <c r="H20" s="16"/>
    </row>
    <row r="21" customFormat="false" ht="15" hidden="false" customHeight="false" outlineLevel="0" collapsed="false">
      <c r="A21" s="8" t="s">
        <v>126</v>
      </c>
      <c r="B21" s="3" t="s">
        <v>127</v>
      </c>
      <c r="C21" s="29" t="n">
        <v>1</v>
      </c>
      <c r="D21" s="29" t="n">
        <v>2</v>
      </c>
      <c r="E21" s="29" t="n">
        <v>3</v>
      </c>
      <c r="F21" s="29" t="n">
        <v>4</v>
      </c>
      <c r="G21" s="29" t="n">
        <v>5</v>
      </c>
      <c r="H21" s="3" t="s">
        <v>128</v>
      </c>
    </row>
    <row r="22" customFormat="false" ht="15" hidden="false" customHeight="false" outlineLevel="0" collapsed="false">
      <c r="A22" s="8" t="s">
        <v>129</v>
      </c>
      <c r="B22" s="3" t="s">
        <v>127</v>
      </c>
      <c r="C22" s="29" t="n">
        <v>0.5</v>
      </c>
      <c r="D22" s="29" t="n">
        <v>1</v>
      </c>
      <c r="E22" s="29" t="n">
        <v>2</v>
      </c>
      <c r="F22" s="29" t="n">
        <v>2</v>
      </c>
      <c r="G22" s="29" t="n">
        <v>3</v>
      </c>
      <c r="H22" s="3"/>
    </row>
    <row r="23" customFormat="false" ht="15" hidden="false" customHeight="false" outlineLevel="0" collapsed="false">
      <c r="A23" s="8" t="s">
        <v>130</v>
      </c>
      <c r="B23" s="3" t="s">
        <v>85</v>
      </c>
      <c r="C23" s="19" t="n">
        <v>60000</v>
      </c>
      <c r="D23" s="19" t="n">
        <v>170000</v>
      </c>
      <c r="E23" s="19" t="n">
        <v>170000</v>
      </c>
      <c r="F23" s="19" t="n">
        <v>175000</v>
      </c>
      <c r="G23" s="19" t="n">
        <v>180000</v>
      </c>
      <c r="H23" s="3" t="s">
        <v>131</v>
      </c>
    </row>
    <row r="24" customFormat="false" ht="15" hidden="false" customHeight="false" outlineLevel="0" collapsed="false">
      <c r="A24" s="8" t="s">
        <v>132</v>
      </c>
      <c r="B24" s="3" t="s">
        <v>85</v>
      </c>
      <c r="C24" s="19" t="n">
        <v>75000</v>
      </c>
      <c r="D24" s="19" t="n">
        <v>120000</v>
      </c>
      <c r="E24" s="19" t="n">
        <v>150000</v>
      </c>
      <c r="F24" s="19" t="n">
        <v>175000</v>
      </c>
      <c r="G24" s="19" t="n">
        <v>200000</v>
      </c>
      <c r="H24" s="3" t="s">
        <v>133</v>
      </c>
    </row>
    <row r="25" customFormat="false" ht="15" hidden="false" customHeight="false" outlineLevel="0" collapsed="false">
      <c r="A25" s="8" t="s">
        <v>134</v>
      </c>
      <c r="B25" s="3" t="s">
        <v>85</v>
      </c>
      <c r="C25" s="19" t="n">
        <v>25000</v>
      </c>
      <c r="D25" s="19" t="n">
        <v>50000</v>
      </c>
      <c r="E25" s="19" t="n">
        <v>75000</v>
      </c>
      <c r="F25" s="19" t="n">
        <v>100000</v>
      </c>
      <c r="G25" s="19" t="n">
        <v>125000</v>
      </c>
      <c r="H25" s="3" t="s">
        <v>135</v>
      </c>
    </row>
    <row r="26" customFormat="false" ht="15" hidden="false" customHeight="false" outlineLevel="0" collapsed="false">
      <c r="A26" s="8" t="s">
        <v>136</v>
      </c>
      <c r="B26" s="3" t="s">
        <v>85</v>
      </c>
      <c r="C26" s="19" t="n">
        <v>60000</v>
      </c>
      <c r="D26" s="19" t="n">
        <v>150000</v>
      </c>
      <c r="E26" s="19" t="n">
        <v>250000</v>
      </c>
      <c r="F26" s="19" t="n">
        <v>350000</v>
      </c>
      <c r="G26" s="19" t="n">
        <v>450000</v>
      </c>
      <c r="H26" s="3" t="s">
        <v>137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2" min="2" style="0" width="16"/>
    <col collapsed="false" customWidth="true" hidden="false" outlineLevel="0" max="7" min="3" style="0" width="14"/>
  </cols>
  <sheetData>
    <row r="1" customFormat="false" ht="17.35" hidden="false" customHeight="false" outlineLevel="0" collapsed="false">
      <c r="A1" s="1" t="s">
        <v>138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139</v>
      </c>
      <c r="B2" s="2"/>
      <c r="C2" s="2"/>
      <c r="D2" s="2"/>
      <c r="E2" s="2"/>
      <c r="F2" s="2"/>
      <c r="G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</row>
    <row r="4" customFormat="false" ht="15" hidden="false" customHeight="false" outlineLevel="0" collapsed="false">
      <c r="A4" s="6" t="s">
        <v>140</v>
      </c>
      <c r="B4" s="6" t="s">
        <v>4</v>
      </c>
      <c r="C4" s="7" t="s">
        <v>5</v>
      </c>
      <c r="D4" s="7" t="s">
        <v>6</v>
      </c>
      <c r="E4" s="7" t="s">
        <v>7</v>
      </c>
      <c r="F4" s="7" t="s">
        <v>8</v>
      </c>
      <c r="G4" s="7" t="s">
        <v>9</v>
      </c>
    </row>
    <row r="5" customFormat="false" ht="15" hidden="false" customHeight="false" outlineLevel="0" collapsed="false">
      <c r="A5" s="15" t="s">
        <v>141</v>
      </c>
      <c r="B5" s="16"/>
      <c r="C5" s="16"/>
      <c r="D5" s="16"/>
      <c r="E5" s="16"/>
      <c r="F5" s="16"/>
      <c r="G5" s="16"/>
    </row>
    <row r="6" customFormat="false" ht="15" hidden="false" customHeight="false" outlineLevel="0" collapsed="false">
      <c r="A6" s="8" t="s">
        <v>10</v>
      </c>
      <c r="B6" s="3" t="s">
        <v>11</v>
      </c>
      <c r="C6" s="9" t="n">
        <f aca="false">Ramp!C12</f>
        <v>300</v>
      </c>
      <c r="D6" s="9" t="n">
        <f aca="false">Ramp!D12</f>
        <v>1000</v>
      </c>
      <c r="E6" s="9" t="n">
        <f aca="false">Ramp!E12</f>
        <v>2000</v>
      </c>
      <c r="F6" s="9" t="n">
        <f aca="false">Ramp!F12</f>
        <v>3000</v>
      </c>
      <c r="G6" s="9" t="n">
        <f aca="false">Ramp!G12</f>
        <v>3500</v>
      </c>
    </row>
    <row r="7" customFormat="false" ht="15" hidden="false" customHeight="false" outlineLevel="0" collapsed="false">
      <c r="A7" s="8" t="s">
        <v>142</v>
      </c>
      <c r="B7" s="3" t="s">
        <v>11</v>
      </c>
      <c r="C7" s="30" t="n">
        <f aca="false">0</f>
        <v>0</v>
      </c>
      <c r="D7" s="30" t="n">
        <f aca="false">C6</f>
        <v>300</v>
      </c>
      <c r="E7" s="30" t="n">
        <f aca="false">D6</f>
        <v>1000</v>
      </c>
      <c r="F7" s="30" t="n">
        <f aca="false">E6</f>
        <v>2000</v>
      </c>
      <c r="G7" s="30" t="n">
        <f aca="false">F6</f>
        <v>3000</v>
      </c>
    </row>
    <row r="8" customFormat="false" ht="15" hidden="false" customHeight="false" outlineLevel="0" collapsed="false">
      <c r="A8" s="8" t="s">
        <v>143</v>
      </c>
      <c r="B8" s="3" t="s">
        <v>11</v>
      </c>
      <c r="C8" s="30" t="n">
        <f aca="false">MAX(C6-C7,0)</f>
        <v>300</v>
      </c>
      <c r="D8" s="30" t="n">
        <f aca="false">MAX(D6-D7,0)</f>
        <v>700</v>
      </c>
      <c r="E8" s="30" t="n">
        <f aca="false">MAX(E6-E7,0)</f>
        <v>1000</v>
      </c>
      <c r="F8" s="30" t="n">
        <f aca="false">MAX(F6-F7,0)</f>
        <v>1000</v>
      </c>
      <c r="G8" s="30" t="n">
        <f aca="false">MAX(G6-G7,0)</f>
        <v>500</v>
      </c>
    </row>
    <row r="9" customFormat="false" ht="15" hidden="false" customHeight="false" outlineLevel="0" collapsed="false">
      <c r="A9" s="8" t="s">
        <v>144</v>
      </c>
      <c r="B9" s="3" t="s">
        <v>11</v>
      </c>
      <c r="C9" s="30" t="n">
        <f aca="false">(C7+C6)/2</f>
        <v>150</v>
      </c>
      <c r="D9" s="30" t="n">
        <f aca="false">(D7+D6)/2</f>
        <v>650</v>
      </c>
      <c r="E9" s="30" t="n">
        <f aca="false">(E7+E6)/2</f>
        <v>1500</v>
      </c>
      <c r="F9" s="30" t="n">
        <f aca="false">(F7+F6)/2</f>
        <v>2500</v>
      </c>
      <c r="G9" s="30" t="n">
        <f aca="false">(G7+G6)/2</f>
        <v>3250</v>
      </c>
    </row>
    <row r="10" customFormat="false" ht="15" hidden="false" customHeight="false" outlineLevel="0" collapsed="false">
      <c r="A10" s="8" t="s">
        <v>12</v>
      </c>
      <c r="B10" s="3" t="s">
        <v>13</v>
      </c>
      <c r="C10" s="9" t="n">
        <f aca="false">Ramp!C18</f>
        <v>0</v>
      </c>
      <c r="D10" s="9" t="n">
        <f aca="false">Ramp!D18</f>
        <v>25</v>
      </c>
      <c r="E10" s="9" t="n">
        <f aca="false">Ramp!E18</f>
        <v>100</v>
      </c>
      <c r="F10" s="9" t="n">
        <f aca="false">Ramp!F18</f>
        <v>250</v>
      </c>
      <c r="G10" s="9" t="n">
        <f aca="false">Ramp!G18</f>
        <v>400</v>
      </c>
    </row>
    <row r="11" customFormat="false" ht="15" hidden="false" customHeight="false" outlineLevel="0" collapsed="false">
      <c r="A11" s="8" t="s">
        <v>145</v>
      </c>
      <c r="B11" s="3" t="s">
        <v>13</v>
      </c>
      <c r="C11" s="30" t="n">
        <f aca="false">(C10)/2</f>
        <v>0</v>
      </c>
      <c r="D11" s="30" t="n">
        <f aca="false">(C10+D10)/2</f>
        <v>12.5</v>
      </c>
      <c r="E11" s="30" t="n">
        <f aca="false">(D10+E10)/2</f>
        <v>62.5</v>
      </c>
      <c r="F11" s="30" t="n">
        <f aca="false">(E10+F10)/2</f>
        <v>175</v>
      </c>
      <c r="G11" s="30" t="n">
        <f aca="false">(F10+G10)/2</f>
        <v>325</v>
      </c>
    </row>
    <row r="12" customFormat="false" ht="15" hidden="false" customHeight="false" outlineLevel="0" collapsed="false">
      <c r="A12" s="2"/>
      <c r="B12" s="2"/>
      <c r="C12" s="2"/>
      <c r="D12" s="2"/>
      <c r="E12" s="2"/>
      <c r="F12" s="2"/>
      <c r="G12" s="2"/>
    </row>
    <row r="13" customFormat="false" ht="15" hidden="false" customHeight="false" outlineLevel="0" collapsed="false">
      <c r="A13" s="15" t="s">
        <v>146</v>
      </c>
      <c r="B13" s="16"/>
      <c r="C13" s="16"/>
      <c r="D13" s="16"/>
      <c r="E13" s="16"/>
      <c r="F13" s="16"/>
      <c r="G13" s="16"/>
    </row>
    <row r="14" customFormat="false" ht="15" hidden="false" customHeight="false" outlineLevel="0" collapsed="false">
      <c r="A14" s="8" t="s">
        <v>147</v>
      </c>
      <c r="B14" s="3" t="s">
        <v>22</v>
      </c>
      <c r="C14" s="31" t="n">
        <f aca="false">Assumptions!$E$8*Assumptions!$E$9*12*Ramp!C6</f>
        <v>720000</v>
      </c>
      <c r="D14" s="31" t="n">
        <f aca="false">Assumptions!$E$8*Assumptions!$E$9*12*Ramp!D6</f>
        <v>828000</v>
      </c>
      <c r="E14" s="31" t="n">
        <f aca="false">Assumptions!$E$8*Assumptions!$E$9*12*Ramp!E6</f>
        <v>936000</v>
      </c>
      <c r="F14" s="31" t="n">
        <f aca="false">Assumptions!$E$8*Assumptions!$E$9*12*Ramp!F6</f>
        <v>1044000</v>
      </c>
      <c r="G14" s="31" t="n">
        <f aca="false">Assumptions!$E$8*Assumptions!$E$9*12*Ramp!G6</f>
        <v>1116000</v>
      </c>
    </row>
    <row r="15" customFormat="false" ht="15" hidden="false" customHeight="false" outlineLevel="0" collapsed="false">
      <c r="A15" s="8" t="s">
        <v>148</v>
      </c>
      <c r="B15" s="3" t="s">
        <v>17</v>
      </c>
      <c r="C15" s="32" t="n">
        <f aca="false">Assumptions!$E$11*(1-Assumptions!$E$12)^0</f>
        <v>0.04</v>
      </c>
      <c r="D15" s="32" t="n">
        <f aca="false">Assumptions!$E$11*(1-Assumptions!$E$12)^1</f>
        <v>0.034</v>
      </c>
      <c r="E15" s="32" t="n">
        <f aca="false">Assumptions!$E$11*(1-Assumptions!$E$12)^2</f>
        <v>0.0289</v>
      </c>
      <c r="F15" s="32" t="n">
        <f aca="false">Assumptions!$E$11*(1-Assumptions!$E$12)^3</f>
        <v>0.024565</v>
      </c>
      <c r="G15" s="32" t="n">
        <f aca="false">Assumptions!$E$11*(1-Assumptions!$E$12)^4</f>
        <v>0.02088025</v>
      </c>
    </row>
    <row r="16" customFormat="false" ht="15" hidden="false" customHeight="false" outlineLevel="0" collapsed="false">
      <c r="A16" s="8" t="s">
        <v>149</v>
      </c>
      <c r="B16" s="3" t="s">
        <v>22</v>
      </c>
      <c r="C16" s="31" t="n">
        <f aca="false">C14*C15</f>
        <v>28800</v>
      </c>
      <c r="D16" s="31" t="n">
        <f aca="false">D14*D15</f>
        <v>28152</v>
      </c>
      <c r="E16" s="31" t="n">
        <f aca="false">E14*E15</f>
        <v>27050.4</v>
      </c>
      <c r="F16" s="31" t="n">
        <f aca="false">F14*F15</f>
        <v>25645.86</v>
      </c>
      <c r="G16" s="31" t="n">
        <f aca="false">G14*G15</f>
        <v>23302.359</v>
      </c>
    </row>
    <row r="17" customFormat="false" ht="15" hidden="false" customHeight="false" outlineLevel="0" collapsed="false">
      <c r="A17" s="8" t="s">
        <v>150</v>
      </c>
      <c r="B17" s="3" t="s">
        <v>22</v>
      </c>
      <c r="C17" s="31" t="n">
        <f aca="false">C16*Assumptions!$E$13</f>
        <v>20160</v>
      </c>
      <c r="D17" s="31" t="n">
        <f aca="false">D16*Assumptions!$E$13</f>
        <v>19706.4</v>
      </c>
      <c r="E17" s="31" t="n">
        <f aca="false">E16*Assumptions!$E$13</f>
        <v>18935.28</v>
      </c>
      <c r="F17" s="31" t="n">
        <f aca="false">F16*Assumptions!$E$13</f>
        <v>17952.102</v>
      </c>
      <c r="G17" s="31" t="n">
        <f aca="false">G16*Assumptions!$E$13</f>
        <v>16311.6513</v>
      </c>
    </row>
    <row r="18" customFormat="false" ht="15" hidden="false" customHeight="false" outlineLevel="0" collapsed="false">
      <c r="A18" s="8" t="s">
        <v>151</v>
      </c>
      <c r="B18" s="3" t="s">
        <v>22</v>
      </c>
      <c r="C18" s="31" t="n">
        <f aca="false">C17*Assumptions!$E$14</f>
        <v>5040</v>
      </c>
      <c r="D18" s="31" t="n">
        <f aca="false">D17*Assumptions!$E$14</f>
        <v>4926.6</v>
      </c>
      <c r="E18" s="31" t="n">
        <f aca="false">E17*Assumptions!$E$14</f>
        <v>4733.82</v>
      </c>
      <c r="F18" s="31" t="n">
        <f aca="false">F17*Assumptions!$E$14</f>
        <v>4488.0255</v>
      </c>
      <c r="G18" s="31" t="n">
        <f aca="false">G17*Assumptions!$E$14</f>
        <v>4077.912825</v>
      </c>
    </row>
    <row r="19" customFormat="false" ht="15" hidden="false" customHeight="false" outlineLevel="0" collapsed="false">
      <c r="A19" s="8" t="s">
        <v>152</v>
      </c>
      <c r="B19" s="3" t="s">
        <v>22</v>
      </c>
      <c r="C19" s="31" t="n">
        <f aca="false">Assumptions!$E$16*12</f>
        <v>2388</v>
      </c>
      <c r="D19" s="31" t="n">
        <f aca="false">Assumptions!$E$16*12</f>
        <v>2388</v>
      </c>
      <c r="E19" s="31" t="n">
        <f aca="false">Assumptions!$E$16*12</f>
        <v>2388</v>
      </c>
      <c r="F19" s="31" t="n">
        <f aca="false">Assumptions!$E$16*12</f>
        <v>2388</v>
      </c>
      <c r="G19" s="31" t="n">
        <f aca="false">Assumptions!$E$16*12</f>
        <v>2388</v>
      </c>
    </row>
    <row r="20" customFormat="false" ht="15" hidden="false" customHeight="false" outlineLevel="0" collapsed="false">
      <c r="A20" s="33" t="s">
        <v>153</v>
      </c>
      <c r="B20" s="34" t="s">
        <v>22</v>
      </c>
      <c r="C20" s="35" t="n">
        <f aca="false">C18+C19</f>
        <v>7428</v>
      </c>
      <c r="D20" s="35" t="n">
        <f aca="false">D18+D19</f>
        <v>7314.6</v>
      </c>
      <c r="E20" s="35" t="n">
        <f aca="false">E18+E19</f>
        <v>7121.82</v>
      </c>
      <c r="F20" s="35" t="n">
        <f aca="false">F18+F19</f>
        <v>6876.0255</v>
      </c>
      <c r="G20" s="35" t="n">
        <f aca="false">G18+G19</f>
        <v>6465.912825</v>
      </c>
    </row>
    <row r="21" customFormat="false" ht="15" hidden="false" customHeight="false" outlineLevel="0" collapsed="false">
      <c r="A21" s="8" t="s">
        <v>154</v>
      </c>
      <c r="B21" s="3" t="s">
        <v>22</v>
      </c>
      <c r="C21" s="31" t="n">
        <f aca="false">C17-C20</f>
        <v>12732</v>
      </c>
      <c r="D21" s="31" t="n">
        <f aca="false">D17-D20</f>
        <v>12391.8</v>
      </c>
      <c r="E21" s="31" t="n">
        <f aca="false">E17-E20</f>
        <v>11813.46</v>
      </c>
      <c r="F21" s="31" t="n">
        <f aca="false">F17-F20</f>
        <v>11076.0765</v>
      </c>
      <c r="G21" s="31" t="n">
        <f aca="false">G17-G20</f>
        <v>9845.738475</v>
      </c>
    </row>
    <row r="22" customFormat="false" ht="15" hidden="false" customHeight="false" outlineLevel="0" collapsed="false">
      <c r="A22" s="8" t="s">
        <v>24</v>
      </c>
      <c r="B22" s="3" t="s">
        <v>25</v>
      </c>
      <c r="C22" s="36" t="n">
        <f aca="false">IFERROR(C17/C20,0)</f>
        <v>2.7140549273021</v>
      </c>
      <c r="D22" s="36" t="n">
        <f aca="false">IFERROR(D17/D20,0)</f>
        <v>2.69411861209089</v>
      </c>
      <c r="E22" s="36" t="n">
        <f aca="false">IFERROR(E17/E20,0)</f>
        <v>2.658769808841</v>
      </c>
      <c r="F22" s="36" t="n">
        <f aca="false">IFERROR(F17/F20,0)</f>
        <v>2.61082539615364</v>
      </c>
      <c r="G22" s="36" t="n">
        <f aca="false">IFERROR(G17/G20,0)</f>
        <v>2.52271438565211</v>
      </c>
    </row>
    <row r="23" customFormat="false" ht="15" hidden="false" customHeight="false" outlineLevel="0" collapsed="false">
      <c r="A23" s="2"/>
      <c r="B23" s="2"/>
      <c r="C23" s="2"/>
      <c r="D23" s="2"/>
      <c r="E23" s="2"/>
      <c r="F23" s="2"/>
      <c r="G23" s="2"/>
    </row>
    <row r="24" customFormat="false" ht="15" hidden="false" customHeight="false" outlineLevel="0" collapsed="false">
      <c r="A24" s="15" t="s">
        <v>155</v>
      </c>
      <c r="B24" s="16"/>
      <c r="C24" s="16"/>
      <c r="D24" s="16"/>
      <c r="E24" s="16"/>
      <c r="F24" s="16"/>
      <c r="G24" s="16"/>
    </row>
    <row r="25" customFormat="false" ht="15" hidden="false" customHeight="false" outlineLevel="0" collapsed="false">
      <c r="A25" s="8" t="s">
        <v>156</v>
      </c>
      <c r="B25" s="3" t="s">
        <v>15</v>
      </c>
      <c r="C25" s="31" t="n">
        <f aca="false">C9*C19</f>
        <v>358200</v>
      </c>
      <c r="D25" s="31" t="n">
        <f aca="false">D9*D19</f>
        <v>1552200</v>
      </c>
      <c r="E25" s="31" t="n">
        <f aca="false">E9*E19</f>
        <v>3582000</v>
      </c>
      <c r="F25" s="31" t="n">
        <f aca="false">F9*F19</f>
        <v>5970000</v>
      </c>
      <c r="G25" s="31" t="n">
        <f aca="false">G9*G19</f>
        <v>7761000</v>
      </c>
    </row>
    <row r="26" customFormat="false" ht="15" hidden="false" customHeight="false" outlineLevel="0" collapsed="false">
      <c r="A26" s="8" t="s">
        <v>157</v>
      </c>
      <c r="B26" s="3" t="s">
        <v>15</v>
      </c>
      <c r="C26" s="31" t="n">
        <f aca="false">C9*C18</f>
        <v>756000</v>
      </c>
      <c r="D26" s="31" t="n">
        <f aca="false">D9*D18</f>
        <v>3202290</v>
      </c>
      <c r="E26" s="31" t="n">
        <f aca="false">E9*E18</f>
        <v>7100730</v>
      </c>
      <c r="F26" s="31" t="n">
        <f aca="false">F9*F18</f>
        <v>11220063.75</v>
      </c>
      <c r="G26" s="31" t="n">
        <f aca="false">G9*G18</f>
        <v>13253216.68125</v>
      </c>
    </row>
    <row r="27" customFormat="false" ht="15" hidden="false" customHeight="false" outlineLevel="0" collapsed="false">
      <c r="A27" s="8" t="s">
        <v>158</v>
      </c>
      <c r="B27" s="3" t="s">
        <v>15</v>
      </c>
      <c r="C27" s="31" t="n">
        <f aca="false">C11*Assumptions!$E$19</f>
        <v>0</v>
      </c>
      <c r="D27" s="31" t="n">
        <f aca="false">D11*Assumptions!$E$19</f>
        <v>150000</v>
      </c>
      <c r="E27" s="31" t="n">
        <f aca="false">E11*Assumptions!$E$19</f>
        <v>750000</v>
      </c>
      <c r="F27" s="31" t="n">
        <f aca="false">F11*Assumptions!$E$19</f>
        <v>2100000</v>
      </c>
      <c r="G27" s="31" t="n">
        <f aca="false">G11*Assumptions!$E$19</f>
        <v>3900000</v>
      </c>
    </row>
    <row r="28" customFormat="false" ht="15" hidden="false" customHeight="false" outlineLevel="0" collapsed="false">
      <c r="A28" s="33" t="s">
        <v>159</v>
      </c>
      <c r="B28" s="34" t="s">
        <v>15</v>
      </c>
      <c r="C28" s="35" t="n">
        <f aca="false">SUM(C25:C27)</f>
        <v>1114200</v>
      </c>
      <c r="D28" s="35" t="n">
        <f aca="false">SUM(D25:D27)</f>
        <v>4904490</v>
      </c>
      <c r="E28" s="35" t="n">
        <f aca="false">SUM(E25:E27)</f>
        <v>11432730</v>
      </c>
      <c r="F28" s="35" t="n">
        <f aca="false">SUM(F25:F27)</f>
        <v>19290063.75</v>
      </c>
      <c r="G28" s="35" t="n">
        <f aca="false">SUM(G25:G27)</f>
        <v>24914216.68125</v>
      </c>
    </row>
    <row r="29" customFormat="false" ht="15" hidden="false" customHeight="false" outlineLevel="0" collapsed="false">
      <c r="A29" s="8" t="s">
        <v>160</v>
      </c>
      <c r="B29" s="3" t="s">
        <v>15</v>
      </c>
      <c r="C29" s="31" t="n">
        <f aca="false">-(C25+C26)*Assumptions!$E$17*Assumptions!$E$18</f>
        <v>-133704</v>
      </c>
      <c r="D29" s="31" t="n">
        <f aca="false">-(D25+D26)*Assumptions!$E$17*Assumptions!$E$18</f>
        <v>-570538.8</v>
      </c>
      <c r="E29" s="31" t="n">
        <f aca="false">-(E25+E26)*Assumptions!$E$17*Assumptions!$E$18</f>
        <v>-1281927.6</v>
      </c>
      <c r="F29" s="31" t="n">
        <f aca="false">-(F25+F26)*Assumptions!$E$17*Assumptions!$E$18</f>
        <v>-2062807.65</v>
      </c>
      <c r="G29" s="31" t="n">
        <f aca="false">-(G25+G26)*Assumptions!$E$17*Assumptions!$E$18</f>
        <v>-2521706.00175</v>
      </c>
    </row>
    <row r="30" customFormat="false" ht="15" hidden="false" customHeight="false" outlineLevel="0" collapsed="false">
      <c r="A30" s="33" t="s">
        <v>14</v>
      </c>
      <c r="B30" s="34" t="s">
        <v>15</v>
      </c>
      <c r="C30" s="35" t="n">
        <f aca="false">C28+C29</f>
        <v>980496</v>
      </c>
      <c r="D30" s="35" t="n">
        <f aca="false">D28+D29</f>
        <v>4333951.2</v>
      </c>
      <c r="E30" s="35" t="n">
        <f aca="false">E28+E29</f>
        <v>10150802.4</v>
      </c>
      <c r="F30" s="35" t="n">
        <f aca="false">F28+F29</f>
        <v>17227256.1</v>
      </c>
      <c r="G30" s="35" t="n">
        <f aca="false">G28+G29</f>
        <v>22392510.6795</v>
      </c>
    </row>
    <row r="31" customFormat="false" ht="15" hidden="false" customHeight="false" outlineLevel="0" collapsed="false">
      <c r="A31" s="8" t="s">
        <v>161</v>
      </c>
      <c r="B31" s="3" t="s">
        <v>17</v>
      </c>
      <c r="C31" s="32" t="str">
        <f aca="false">""</f>
        <v/>
      </c>
      <c r="D31" s="32" t="n">
        <f aca="false">IFERROR(D30/C30-1,0)</f>
        <v>3.42016204043668</v>
      </c>
      <c r="E31" s="32" t="n">
        <f aca="false">IFERROR(E30/D30-1,0)</f>
        <v>1.34215890571172</v>
      </c>
      <c r="F31" s="32" t="n">
        <f aca="false">IFERROR(F30/E30-1,0)</f>
        <v>0.697132445411409</v>
      </c>
      <c r="G31" s="32" t="n">
        <f aca="false">IFERROR(G30/F30-1,0)</f>
        <v>0.299830370519656</v>
      </c>
    </row>
    <row r="32" customFormat="false" ht="15" hidden="false" customHeight="false" outlineLevel="0" collapsed="false">
      <c r="A32" s="2"/>
      <c r="B32" s="2"/>
      <c r="C32" s="2"/>
      <c r="D32" s="2"/>
      <c r="E32" s="2"/>
      <c r="F32" s="2"/>
      <c r="G32" s="2"/>
    </row>
    <row r="33" customFormat="false" ht="15" hidden="false" customHeight="false" outlineLevel="0" collapsed="false">
      <c r="A33" s="15" t="s">
        <v>77</v>
      </c>
      <c r="B33" s="16"/>
      <c r="C33" s="16"/>
      <c r="D33" s="16"/>
      <c r="E33" s="16"/>
      <c r="F33" s="16"/>
      <c r="G33" s="16"/>
    </row>
    <row r="34" customFormat="false" ht="15" hidden="false" customHeight="false" outlineLevel="0" collapsed="false">
      <c r="A34" s="8" t="s">
        <v>162</v>
      </c>
      <c r="B34" s="3" t="s">
        <v>15</v>
      </c>
      <c r="C34" s="31" t="n">
        <f aca="false">C9*Assumptions!$E$22*12</f>
        <v>27000</v>
      </c>
      <c r="D34" s="31" t="n">
        <f aca="false">D9*Assumptions!$E$22*12</f>
        <v>117000</v>
      </c>
      <c r="E34" s="31" t="n">
        <f aca="false">E9*Assumptions!$E$22*12</f>
        <v>270000</v>
      </c>
      <c r="F34" s="31" t="n">
        <f aca="false">F9*Assumptions!$E$22*12</f>
        <v>450000</v>
      </c>
      <c r="G34" s="31" t="n">
        <f aca="false">G9*Assumptions!$E$22*12</f>
        <v>585000</v>
      </c>
    </row>
    <row r="35" customFormat="false" ht="15" hidden="false" customHeight="false" outlineLevel="0" collapsed="false">
      <c r="A35" s="8" t="s">
        <v>163</v>
      </c>
      <c r="B35" s="3" t="s">
        <v>15</v>
      </c>
      <c r="C35" s="31" t="n">
        <f aca="false">Assumptions!$E$23</f>
        <v>35000</v>
      </c>
      <c r="D35" s="31" t="n">
        <f aca="false">Assumptions!$E$23</f>
        <v>35000</v>
      </c>
      <c r="E35" s="31" t="n">
        <f aca="false">Assumptions!$E$23</f>
        <v>35000</v>
      </c>
      <c r="F35" s="31" t="n">
        <f aca="false">Assumptions!$E$23</f>
        <v>35000</v>
      </c>
      <c r="G35" s="31" t="n">
        <f aca="false">Assumptions!$E$23</f>
        <v>35000</v>
      </c>
    </row>
    <row r="36" customFormat="false" ht="15" hidden="false" customHeight="false" outlineLevel="0" collapsed="false">
      <c r="A36" s="8" t="s">
        <v>164</v>
      </c>
      <c r="B36" s="3" t="s">
        <v>15</v>
      </c>
      <c r="C36" s="31" t="n">
        <f aca="false">C8*Assumptions!$E$21</f>
        <v>90000</v>
      </c>
      <c r="D36" s="31" t="n">
        <f aca="false">D8*Assumptions!$E$21</f>
        <v>210000</v>
      </c>
      <c r="E36" s="31" t="n">
        <f aca="false">E8*Assumptions!$E$21</f>
        <v>300000</v>
      </c>
      <c r="F36" s="31" t="n">
        <f aca="false">F8*Assumptions!$E$21</f>
        <v>300000</v>
      </c>
      <c r="G36" s="31" t="n">
        <f aca="false">G8*Assumptions!$E$21</f>
        <v>150000</v>
      </c>
    </row>
    <row r="37" customFormat="false" ht="15" hidden="false" customHeight="false" outlineLevel="0" collapsed="false">
      <c r="A37" s="8" t="s">
        <v>165</v>
      </c>
      <c r="B37" s="3" t="s">
        <v>127</v>
      </c>
      <c r="C37" s="30" t="n">
        <f aca="false">ROUNDUP((C9+C11)/Assumptions!$E$24,0)</f>
        <v>1</v>
      </c>
      <c r="D37" s="30" t="n">
        <f aca="false">ROUNDUP((D9+D11)/Assumptions!$E$24,0)</f>
        <v>3</v>
      </c>
      <c r="E37" s="30" t="n">
        <f aca="false">ROUNDUP((E9+E11)/Assumptions!$E$24,0)</f>
        <v>6</v>
      </c>
      <c r="F37" s="30" t="n">
        <f aca="false">ROUNDUP((F9+F11)/Assumptions!$E$24,0)</f>
        <v>9</v>
      </c>
      <c r="G37" s="30" t="n">
        <f aca="false">ROUNDUP((G9+G11)/Assumptions!$E$24,0)</f>
        <v>12</v>
      </c>
    </row>
    <row r="38" customFormat="false" ht="15" hidden="false" customHeight="false" outlineLevel="0" collapsed="false">
      <c r="A38" s="8" t="s">
        <v>166</v>
      </c>
      <c r="B38" s="3" t="s">
        <v>15</v>
      </c>
      <c r="C38" s="31" t="n">
        <f aca="false">C37*Assumptions!$E$25</f>
        <v>75000</v>
      </c>
      <c r="D38" s="31" t="n">
        <f aca="false">D37*Assumptions!$E$25</f>
        <v>225000</v>
      </c>
      <c r="E38" s="31" t="n">
        <f aca="false">E37*Assumptions!$E$25</f>
        <v>450000</v>
      </c>
      <c r="F38" s="31" t="n">
        <f aca="false">F37*Assumptions!$E$25</f>
        <v>675000</v>
      </c>
      <c r="G38" s="31" t="n">
        <f aca="false">G37*Assumptions!$E$25</f>
        <v>900000</v>
      </c>
    </row>
    <row r="39" customFormat="false" ht="15" hidden="false" customHeight="false" outlineLevel="0" collapsed="false">
      <c r="A39" s="33" t="s">
        <v>167</v>
      </c>
      <c r="B39" s="34" t="s">
        <v>15</v>
      </c>
      <c r="C39" s="35" t="n">
        <f aca="false">C34+C35+C36+C38</f>
        <v>227000</v>
      </c>
      <c r="D39" s="35" t="n">
        <f aca="false">D34+D35+D36+D38</f>
        <v>587000</v>
      </c>
      <c r="E39" s="35" t="n">
        <f aca="false">E34+E35+E36+E38</f>
        <v>1055000</v>
      </c>
      <c r="F39" s="35" t="n">
        <f aca="false">F34+F35+F36+F38</f>
        <v>1460000</v>
      </c>
      <c r="G39" s="35" t="n">
        <f aca="false">G34+G35+G36+G38</f>
        <v>1670000</v>
      </c>
    </row>
    <row r="40" customFormat="false" ht="15" hidden="false" customHeight="false" outlineLevel="0" collapsed="false">
      <c r="A40" s="4" t="s">
        <v>168</v>
      </c>
      <c r="B40" s="3" t="s">
        <v>15</v>
      </c>
      <c r="C40" s="37" t="n">
        <f aca="false">C30-C39</f>
        <v>753496</v>
      </c>
      <c r="D40" s="37" t="n">
        <f aca="false">D30-D39</f>
        <v>3746951.2</v>
      </c>
      <c r="E40" s="37" t="n">
        <f aca="false">E30-E39</f>
        <v>9095802.4</v>
      </c>
      <c r="F40" s="37" t="n">
        <f aca="false">F30-F39</f>
        <v>15767256.1</v>
      </c>
      <c r="G40" s="37" t="n">
        <f aca="false">G30-G39</f>
        <v>20722510.6795</v>
      </c>
    </row>
    <row r="41" customFormat="false" ht="15" hidden="false" customHeight="false" outlineLevel="0" collapsed="false">
      <c r="A41" s="8" t="s">
        <v>16</v>
      </c>
      <c r="B41" s="3" t="s">
        <v>17</v>
      </c>
      <c r="C41" s="32" t="n">
        <f aca="false">IFERROR(C40/C30,0)</f>
        <v>0.768484522119417</v>
      </c>
      <c r="D41" s="32" t="n">
        <f aca="false">IFERROR(D40/D30,0)</f>
        <v>0.864557773516232</v>
      </c>
      <c r="E41" s="32" t="n">
        <f aca="false">IFERROR(E40/E30,0)</f>
        <v>0.896067329613273</v>
      </c>
      <c r="F41" s="32" t="n">
        <f aca="false">IFERROR(F40/F30,0)</f>
        <v>0.91525057783288</v>
      </c>
      <c r="G41" s="32" t="n">
        <f aca="false">IFERROR(G40/G30,0)</f>
        <v>0.925421493645692</v>
      </c>
    </row>
    <row r="42" customFormat="false" ht="15" hidden="false" customHeight="false" outlineLevel="0" collapsed="false">
      <c r="A42" s="2"/>
      <c r="B42" s="2"/>
      <c r="C42" s="2"/>
      <c r="D42" s="2"/>
      <c r="E42" s="2"/>
      <c r="F42" s="2"/>
      <c r="G42" s="2"/>
    </row>
    <row r="43" customFormat="false" ht="15" hidden="false" customHeight="false" outlineLevel="0" collapsed="false">
      <c r="A43" s="15" t="s">
        <v>169</v>
      </c>
      <c r="B43" s="16"/>
      <c r="C43" s="16"/>
      <c r="D43" s="16"/>
      <c r="E43" s="16"/>
      <c r="F43" s="16"/>
      <c r="G43" s="16"/>
    </row>
    <row r="44" customFormat="false" ht="15" hidden="false" customHeight="false" outlineLevel="0" collapsed="false">
      <c r="A44" s="8" t="s">
        <v>93</v>
      </c>
      <c r="B44" s="3" t="s">
        <v>15</v>
      </c>
      <c r="C44" s="31" t="n">
        <f aca="false">Assumptions!$E$27</f>
        <v>120000</v>
      </c>
      <c r="D44" s="31" t="n">
        <f aca="false">Assumptions!$E$27</f>
        <v>120000</v>
      </c>
      <c r="E44" s="31" t="n">
        <f aca="false">Assumptions!$E$27</f>
        <v>120000</v>
      </c>
      <c r="F44" s="31" t="n">
        <f aca="false">Assumptions!$E$27</f>
        <v>120000</v>
      </c>
      <c r="G44" s="31" t="n">
        <f aca="false">Assumptions!$E$27</f>
        <v>120000</v>
      </c>
    </row>
    <row r="45" customFormat="false" ht="15" hidden="false" customHeight="false" outlineLevel="0" collapsed="false">
      <c r="A45" s="8" t="s">
        <v>170</v>
      </c>
      <c r="B45" s="3" t="s">
        <v>15</v>
      </c>
      <c r="C45" s="31" t="n">
        <f aca="false">Ramp!C21*Assumptions!$E$28</f>
        <v>180000</v>
      </c>
      <c r="D45" s="31" t="n">
        <f aca="false">Ramp!D21*Assumptions!$E$28</f>
        <v>360000</v>
      </c>
      <c r="E45" s="31" t="n">
        <f aca="false">Ramp!E21*Assumptions!$E$28</f>
        <v>540000</v>
      </c>
      <c r="F45" s="31" t="n">
        <f aca="false">Ramp!F21*Assumptions!$E$28</f>
        <v>720000</v>
      </c>
      <c r="G45" s="31" t="n">
        <f aca="false">Ramp!G21*Assumptions!$E$28</f>
        <v>900000</v>
      </c>
    </row>
    <row r="46" customFormat="false" ht="15" hidden="false" customHeight="false" outlineLevel="0" collapsed="false">
      <c r="A46" s="8" t="s">
        <v>171</v>
      </c>
      <c r="B46" s="3" t="s">
        <v>15</v>
      </c>
      <c r="C46" s="10" t="n">
        <f aca="false">Ramp!C23</f>
        <v>60000</v>
      </c>
      <c r="D46" s="10" t="n">
        <f aca="false">Ramp!D23</f>
        <v>170000</v>
      </c>
      <c r="E46" s="10" t="n">
        <f aca="false">Ramp!E23</f>
        <v>170000</v>
      </c>
      <c r="F46" s="10" t="n">
        <f aca="false">Ramp!F23</f>
        <v>175000</v>
      </c>
      <c r="G46" s="10" t="n">
        <f aca="false">Ramp!G23</f>
        <v>180000</v>
      </c>
    </row>
    <row r="47" customFormat="false" ht="15" hidden="false" customHeight="false" outlineLevel="0" collapsed="false">
      <c r="A47" s="8" t="s">
        <v>129</v>
      </c>
      <c r="B47" s="3" t="s">
        <v>15</v>
      </c>
      <c r="C47" s="31" t="n">
        <f aca="false">Ramp!C22*Assumptions!$E$29</f>
        <v>70000</v>
      </c>
      <c r="D47" s="31" t="n">
        <f aca="false">Ramp!D22*Assumptions!$E$29</f>
        <v>140000</v>
      </c>
      <c r="E47" s="31" t="n">
        <f aca="false">Ramp!E22*Assumptions!$E$29</f>
        <v>280000</v>
      </c>
      <c r="F47" s="31" t="n">
        <f aca="false">Ramp!F22*Assumptions!$E$29</f>
        <v>280000</v>
      </c>
      <c r="G47" s="31" t="n">
        <f aca="false">Ramp!G22*Assumptions!$E$29</f>
        <v>420000</v>
      </c>
    </row>
    <row r="48" customFormat="false" ht="15" hidden="false" customHeight="false" outlineLevel="0" collapsed="false">
      <c r="A48" s="8" t="s">
        <v>172</v>
      </c>
      <c r="B48" s="3" t="s">
        <v>15</v>
      </c>
      <c r="C48" s="31" t="n">
        <f aca="false">C8*(1-Assumptions!$E$17)*Assumptions!$E$30</f>
        <v>120000</v>
      </c>
      <c r="D48" s="31" t="n">
        <f aca="false">D8*(1-Assumptions!$E$17)*Assumptions!$E$30</f>
        <v>280000</v>
      </c>
      <c r="E48" s="31" t="n">
        <f aca="false">E8*(1-Assumptions!$E$17)*Assumptions!$E$30</f>
        <v>400000</v>
      </c>
      <c r="F48" s="31" t="n">
        <f aca="false">F8*(1-Assumptions!$E$17)*Assumptions!$E$30</f>
        <v>400000</v>
      </c>
      <c r="G48" s="31" t="n">
        <f aca="false">G8*(1-Assumptions!$E$17)*Assumptions!$E$30</f>
        <v>200000</v>
      </c>
    </row>
    <row r="49" customFormat="false" ht="15" hidden="false" customHeight="false" outlineLevel="0" collapsed="false">
      <c r="A49" s="8" t="s">
        <v>173</v>
      </c>
      <c r="B49" s="3" t="s">
        <v>15</v>
      </c>
      <c r="C49" s="10" t="n">
        <f aca="false">Ramp!C24</f>
        <v>75000</v>
      </c>
      <c r="D49" s="10" t="n">
        <f aca="false">Ramp!D24</f>
        <v>120000</v>
      </c>
      <c r="E49" s="10" t="n">
        <f aca="false">Ramp!E24</f>
        <v>150000</v>
      </c>
      <c r="F49" s="10" t="n">
        <f aca="false">Ramp!F24</f>
        <v>175000</v>
      </c>
      <c r="G49" s="10" t="n">
        <f aca="false">Ramp!G24</f>
        <v>200000</v>
      </c>
    </row>
    <row r="50" customFormat="false" ht="15" hidden="false" customHeight="false" outlineLevel="0" collapsed="false">
      <c r="A50" s="8" t="s">
        <v>134</v>
      </c>
      <c r="B50" s="3" t="s">
        <v>15</v>
      </c>
      <c r="C50" s="10" t="n">
        <f aca="false">Ramp!C25</f>
        <v>25000</v>
      </c>
      <c r="D50" s="10" t="n">
        <f aca="false">Ramp!D25</f>
        <v>50000</v>
      </c>
      <c r="E50" s="10" t="n">
        <f aca="false">Ramp!E25</f>
        <v>75000</v>
      </c>
      <c r="F50" s="10" t="n">
        <f aca="false">Ramp!F25</f>
        <v>100000</v>
      </c>
      <c r="G50" s="10" t="n">
        <f aca="false">Ramp!G25</f>
        <v>125000</v>
      </c>
    </row>
    <row r="51" customFormat="false" ht="15" hidden="false" customHeight="false" outlineLevel="0" collapsed="false">
      <c r="A51" s="8" t="s">
        <v>174</v>
      </c>
      <c r="B51" s="3" t="s">
        <v>15</v>
      </c>
      <c r="C51" s="10" t="n">
        <f aca="false">Ramp!C26</f>
        <v>60000</v>
      </c>
      <c r="D51" s="10" t="n">
        <f aca="false">Ramp!D26</f>
        <v>150000</v>
      </c>
      <c r="E51" s="10" t="n">
        <f aca="false">Ramp!E26</f>
        <v>250000</v>
      </c>
      <c r="F51" s="10" t="n">
        <f aca="false">Ramp!F26</f>
        <v>350000</v>
      </c>
      <c r="G51" s="10" t="n">
        <f aca="false">Ramp!G26</f>
        <v>450000</v>
      </c>
    </row>
    <row r="52" customFormat="false" ht="15" hidden="false" customHeight="false" outlineLevel="0" collapsed="false">
      <c r="A52" s="33" t="s">
        <v>175</v>
      </c>
      <c r="B52" s="34" t="s">
        <v>15</v>
      </c>
      <c r="C52" s="35" t="n">
        <f aca="false">SUM(C44:C51)</f>
        <v>710000</v>
      </c>
      <c r="D52" s="35" t="n">
        <f aca="false">SUM(D44:D51)</f>
        <v>1390000</v>
      </c>
      <c r="E52" s="35" t="n">
        <f aca="false">SUM(E44:E51)</f>
        <v>1985000</v>
      </c>
      <c r="F52" s="35" t="n">
        <f aca="false">SUM(F44:F51)</f>
        <v>2320000</v>
      </c>
      <c r="G52" s="35" t="n">
        <f aca="false">SUM(G44:G51)</f>
        <v>2595000</v>
      </c>
    </row>
    <row r="53" customFormat="false" ht="15" hidden="false" customHeight="false" outlineLevel="0" collapsed="false">
      <c r="A53" s="2"/>
      <c r="B53" s="2"/>
      <c r="C53" s="2"/>
      <c r="D53" s="2"/>
      <c r="E53" s="2"/>
      <c r="F53" s="2"/>
      <c r="G53" s="2"/>
    </row>
    <row r="54" customFormat="false" ht="15" hidden="false" customHeight="false" outlineLevel="0" collapsed="false">
      <c r="A54" s="33" t="s">
        <v>18</v>
      </c>
      <c r="B54" s="34" t="s">
        <v>15</v>
      </c>
      <c r="C54" s="35" t="n">
        <f aca="false">C40-C52</f>
        <v>43496</v>
      </c>
      <c r="D54" s="35" t="n">
        <f aca="false">D40-D52</f>
        <v>2356951.2</v>
      </c>
      <c r="E54" s="35" t="n">
        <f aca="false">E40-E52</f>
        <v>7110802.4</v>
      </c>
      <c r="F54" s="35" t="n">
        <f aca="false">F40-F52</f>
        <v>13447256.1</v>
      </c>
      <c r="G54" s="35" t="n">
        <f aca="false">G40-G52</f>
        <v>18127510.6795</v>
      </c>
    </row>
    <row r="55" customFormat="false" ht="15" hidden="false" customHeight="false" outlineLevel="0" collapsed="false">
      <c r="A55" s="8" t="s">
        <v>19</v>
      </c>
      <c r="B55" s="3" t="s">
        <v>17</v>
      </c>
      <c r="C55" s="32" t="n">
        <f aca="false">IFERROR(C54/C30,0)</f>
        <v>0.0443612212594442</v>
      </c>
      <c r="D55" s="32" t="n">
        <f aca="false">IFERROR(D54/D30,0)</f>
        <v>0.543834272983969</v>
      </c>
      <c r="E55" s="32" t="n">
        <f aca="false">IFERROR(E54/E30,0)</f>
        <v>0.700516286279004</v>
      </c>
      <c r="F55" s="32" t="n">
        <f aca="false">IFERROR(F54/F30,0)</f>
        <v>0.78058026315636</v>
      </c>
      <c r="G55" s="32" t="n">
        <f aca="false">IFERROR(G54/G30,0)</f>
        <v>0.80953453317298</v>
      </c>
    </row>
    <row r="56" customFormat="false" ht="15" hidden="false" customHeight="false" outlineLevel="0" collapsed="false">
      <c r="A56" s="8" t="s">
        <v>20</v>
      </c>
      <c r="B56" s="3" t="s">
        <v>15</v>
      </c>
      <c r="C56" s="31" t="n">
        <f aca="false">C54</f>
        <v>43496</v>
      </c>
      <c r="D56" s="31" t="n">
        <f aca="false">C56+D54</f>
        <v>2400447.2</v>
      </c>
      <c r="E56" s="31" t="n">
        <f aca="false">D56+E54</f>
        <v>9511249.6</v>
      </c>
      <c r="F56" s="31" t="n">
        <f aca="false">E56+F54</f>
        <v>22958505.7</v>
      </c>
      <c r="G56" s="31" t="n">
        <f aca="false">F56+G54</f>
        <v>41086016.3795</v>
      </c>
    </row>
    <row r="57" customFormat="false" ht="15" hidden="false" customHeight="false" outlineLevel="0" collapsed="false">
      <c r="A57" s="2"/>
      <c r="B57" s="2"/>
      <c r="C57" s="2"/>
      <c r="D57" s="2"/>
      <c r="E57" s="2"/>
      <c r="F57" s="2"/>
      <c r="G57" s="2"/>
    </row>
    <row r="58" customFormat="false" ht="15" hidden="false" customHeight="false" outlineLevel="0" collapsed="false">
      <c r="A58" s="15" t="s">
        <v>176</v>
      </c>
      <c r="B58" s="16"/>
      <c r="C58" s="16"/>
      <c r="D58" s="16"/>
      <c r="E58" s="16"/>
      <c r="F58" s="16"/>
      <c r="G58" s="16"/>
    </row>
    <row r="59" customFormat="false" ht="15" hidden="false" customHeight="false" outlineLevel="0" collapsed="false">
      <c r="A59" s="8" t="s">
        <v>177</v>
      </c>
      <c r="B59" s="3" t="s">
        <v>15</v>
      </c>
      <c r="C59" s="31" t="n">
        <f aca="false">C9*C17</f>
        <v>3024000</v>
      </c>
      <c r="D59" s="31" t="n">
        <f aca="false">D9*D17</f>
        <v>12809160</v>
      </c>
      <c r="E59" s="31" t="n">
        <f aca="false">E9*E17</f>
        <v>28402920</v>
      </c>
      <c r="F59" s="31" t="n">
        <f aca="false">F9*F17</f>
        <v>44880255</v>
      </c>
      <c r="G59" s="31" t="n">
        <f aca="false">G9*G17</f>
        <v>53012866.725</v>
      </c>
    </row>
    <row r="60" customFormat="false" ht="15" hidden="false" customHeight="false" outlineLevel="0" collapsed="false">
      <c r="A60" s="8" t="s">
        <v>178</v>
      </c>
      <c r="B60" s="3" t="s">
        <v>15</v>
      </c>
      <c r="C60" s="31" t="n">
        <f aca="false">IFERROR((C30-C27)/C9,0)</f>
        <v>6536.64</v>
      </c>
      <c r="D60" s="31" t="n">
        <f aca="false">IFERROR((D30-D27)/D9,0)</f>
        <v>6436.848</v>
      </c>
      <c r="E60" s="31" t="n">
        <f aca="false">IFERROR((E30-E27)/E9,0)</f>
        <v>6267.2016</v>
      </c>
      <c r="F60" s="31" t="n">
        <f aca="false">IFERROR((F30-F27)/F9,0)</f>
        <v>6050.90244</v>
      </c>
      <c r="G60" s="31" t="n">
        <f aca="false">IFERROR((G30-G27)/G9,0)</f>
        <v>5690.003286</v>
      </c>
    </row>
    <row r="61" customFormat="false" ht="15" hidden="false" customHeight="false" outlineLevel="0" collapsed="false">
      <c r="A61" s="2"/>
      <c r="B61" s="2"/>
      <c r="C61" s="2"/>
      <c r="D61" s="2"/>
      <c r="E61" s="2"/>
      <c r="F61" s="2"/>
      <c r="G61" s="2"/>
    </row>
    <row r="62" customFormat="false" ht="15" hidden="false" customHeight="false" outlineLevel="0" collapsed="false">
      <c r="A62" s="4" t="s">
        <v>179</v>
      </c>
      <c r="B62" s="2"/>
      <c r="C62" s="38" t="n">
        <f aca="false">MIN(0,MIN(C56:G56))</f>
        <v>0</v>
      </c>
      <c r="D62" s="2"/>
      <c r="E62" s="2"/>
      <c r="F62" s="2"/>
      <c r="G62" s="2"/>
    </row>
    <row r="63" customFormat="false" ht="15" hidden="false" customHeight="false" outlineLevel="0" collapsed="false">
      <c r="A63" s="4" t="s">
        <v>180</v>
      </c>
      <c r="B63" s="2"/>
      <c r="C63" s="38" t="n">
        <f aca="false">G30*Assumptions!$E$32</f>
        <v>78373787.37825</v>
      </c>
      <c r="D63" s="2"/>
      <c r="E63" s="2"/>
      <c r="F63" s="2"/>
      <c r="G63" s="2"/>
    </row>
    <row r="64" customFormat="false" ht="15" hidden="false" customHeight="false" outlineLevel="0" collapsed="false">
      <c r="A64" s="4" t="s">
        <v>29</v>
      </c>
      <c r="B64" s="2"/>
      <c r="C64" s="39" t="n">
        <f aca="false">C63*Assumptions!$E$33</f>
        <v>47024272.42695</v>
      </c>
      <c r="D64" s="2"/>
      <c r="E64" s="2"/>
      <c r="F64" s="2"/>
      <c r="G64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6" min="2" style="0" width="14"/>
  </cols>
  <sheetData>
    <row r="1" customFormat="false" ht="17.35" hidden="false" customHeight="false" outlineLevel="0" collapsed="false">
      <c r="A1" s="1" t="s">
        <v>181</v>
      </c>
      <c r="B1" s="2"/>
      <c r="C1" s="2"/>
      <c r="D1" s="2"/>
      <c r="E1" s="2"/>
      <c r="F1" s="2"/>
    </row>
    <row r="2" customFormat="false" ht="15" hidden="false" customHeight="false" outlineLevel="0" collapsed="false">
      <c r="A2" s="3" t="s">
        <v>182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</row>
    <row r="4" customFormat="false" ht="15" hidden="false" customHeight="false" outlineLevel="0" collapsed="false">
      <c r="A4" s="4" t="s">
        <v>183</v>
      </c>
      <c r="B4" s="2"/>
      <c r="C4" s="2"/>
      <c r="D4" s="2"/>
      <c r="E4" s="2"/>
      <c r="F4" s="2"/>
    </row>
    <row r="5" customFormat="false" ht="15" hidden="false" customHeight="false" outlineLevel="0" collapsed="false">
      <c r="A5" s="3" t="s">
        <v>184</v>
      </c>
      <c r="B5" s="40" t="n">
        <v>99</v>
      </c>
      <c r="C5" s="40" t="n">
        <v>149</v>
      </c>
      <c r="D5" s="40" t="n">
        <v>199</v>
      </c>
      <c r="E5" s="40" t="n">
        <v>249</v>
      </c>
      <c r="F5" s="40" t="n">
        <v>299</v>
      </c>
    </row>
    <row r="6" customFormat="false" ht="15" hidden="false" customHeight="false" outlineLevel="0" collapsed="false">
      <c r="A6" s="41" t="n">
        <v>0.01</v>
      </c>
      <c r="B6" s="31" t="n">
        <f aca="false">Model!$E$9*(B$5*12+Model!$E$14*$A6*(1-Assumptions!$E$12)^2*Assumptions!$E$13*Assumptions!$E$14)*(1-Assumptions!$E$17*Assumptions!$E$18)+Model!$E$27</f>
        <v>3880320.6</v>
      </c>
      <c r="C6" s="31" t="n">
        <f aca="false">Model!$E$9*(C$5*12+Model!$E$14*$A6*(1-Assumptions!$E$12)^2*Assumptions!$E$13*Assumptions!$E$14)*(1-Assumptions!$E$17*Assumptions!$E$18)+Model!$E$27</f>
        <v>4672320.6</v>
      </c>
      <c r="D6" s="31" t="n">
        <f aca="false">Model!$E$9*(D$5*12+Model!$E$14*$A6*(1-Assumptions!$E$12)^2*Assumptions!$E$13*Assumptions!$E$14)*(1-Assumptions!$E$17*Assumptions!$E$18)+Model!$E$27</f>
        <v>5464320.6</v>
      </c>
      <c r="E6" s="31" t="n">
        <f aca="false">Model!$E$9*(E$5*12+Model!$E$14*$A6*(1-Assumptions!$E$12)^2*Assumptions!$E$13*Assumptions!$E$14)*(1-Assumptions!$E$17*Assumptions!$E$18)+Model!$E$27</f>
        <v>6256320.6</v>
      </c>
      <c r="F6" s="31" t="n">
        <f aca="false">Model!$E$9*(F$5*12+Model!$E$14*$A6*(1-Assumptions!$E$12)^2*Assumptions!$E$13*Assumptions!$E$14)*(1-Assumptions!$E$17*Assumptions!$E$18)+Model!$E$27</f>
        <v>7048320.6</v>
      </c>
    </row>
    <row r="7" customFormat="false" ht="15" hidden="false" customHeight="false" outlineLevel="0" collapsed="false">
      <c r="A7" s="41" t="n">
        <v>0.02</v>
      </c>
      <c r="B7" s="31" t="n">
        <f aca="false">Model!$E$9*(B$5*12+Model!$E$14*$A7*(1-Assumptions!$E$12)^2*Assumptions!$E$13*Assumptions!$E$14)*(1-Assumptions!$E$17*Assumptions!$E$18)+Model!$E$27</f>
        <v>5442481.2</v>
      </c>
      <c r="C7" s="31" t="n">
        <f aca="false">Model!$E$9*(C$5*12+Model!$E$14*$A7*(1-Assumptions!$E$12)^2*Assumptions!$E$13*Assumptions!$E$14)*(1-Assumptions!$E$17*Assumptions!$E$18)+Model!$E$27</f>
        <v>6234481.2</v>
      </c>
      <c r="D7" s="31" t="n">
        <f aca="false">Model!$E$9*(D$5*12+Model!$E$14*$A7*(1-Assumptions!$E$12)^2*Assumptions!$E$13*Assumptions!$E$14)*(1-Assumptions!$E$17*Assumptions!$E$18)+Model!$E$27</f>
        <v>7026481.2</v>
      </c>
      <c r="E7" s="31" t="n">
        <f aca="false">Model!$E$9*(E$5*12+Model!$E$14*$A7*(1-Assumptions!$E$12)^2*Assumptions!$E$13*Assumptions!$E$14)*(1-Assumptions!$E$17*Assumptions!$E$18)+Model!$E$27</f>
        <v>7818481.2</v>
      </c>
      <c r="F7" s="31" t="n">
        <f aca="false">Model!$E$9*(F$5*12+Model!$E$14*$A7*(1-Assumptions!$E$12)^2*Assumptions!$E$13*Assumptions!$E$14)*(1-Assumptions!$E$17*Assumptions!$E$18)+Model!$E$27</f>
        <v>8610481.2</v>
      </c>
    </row>
    <row r="8" customFormat="false" ht="15" hidden="false" customHeight="false" outlineLevel="0" collapsed="false">
      <c r="A8" s="41" t="n">
        <v>0.03</v>
      </c>
      <c r="B8" s="31" t="n">
        <f aca="false">Model!$E$9*(B$5*12+Model!$E$14*$A8*(1-Assumptions!$E$12)^2*Assumptions!$E$13*Assumptions!$E$14)*(1-Assumptions!$E$17*Assumptions!$E$18)+Model!$E$27</f>
        <v>7004641.8</v>
      </c>
      <c r="C8" s="31" t="n">
        <f aca="false">Model!$E$9*(C$5*12+Model!$E$14*$A8*(1-Assumptions!$E$12)^2*Assumptions!$E$13*Assumptions!$E$14)*(1-Assumptions!$E$17*Assumptions!$E$18)+Model!$E$27</f>
        <v>7796641.8</v>
      </c>
      <c r="D8" s="31" t="n">
        <f aca="false">Model!$E$9*(D$5*12+Model!$E$14*$A8*(1-Assumptions!$E$12)^2*Assumptions!$E$13*Assumptions!$E$14)*(1-Assumptions!$E$17*Assumptions!$E$18)+Model!$E$27</f>
        <v>8588641.8</v>
      </c>
      <c r="E8" s="31" t="n">
        <f aca="false">Model!$E$9*(E$5*12+Model!$E$14*$A8*(1-Assumptions!$E$12)^2*Assumptions!$E$13*Assumptions!$E$14)*(1-Assumptions!$E$17*Assumptions!$E$18)+Model!$E$27</f>
        <v>9380641.8</v>
      </c>
      <c r="F8" s="31" t="n">
        <f aca="false">Model!$E$9*(F$5*12+Model!$E$14*$A8*(1-Assumptions!$E$12)^2*Assumptions!$E$13*Assumptions!$E$14)*(1-Assumptions!$E$17*Assumptions!$E$18)+Model!$E$27</f>
        <v>10172641.8</v>
      </c>
    </row>
    <row r="9" customFormat="false" ht="15" hidden="false" customHeight="false" outlineLevel="0" collapsed="false">
      <c r="A9" s="41" t="n">
        <v>0.04</v>
      </c>
      <c r="B9" s="31" t="n">
        <f aca="false">Model!$E$9*(B$5*12+Model!$E$14*$A9*(1-Assumptions!$E$12)^2*Assumptions!$E$13*Assumptions!$E$14)*(1-Assumptions!$E$17*Assumptions!$E$18)+Model!$E$27</f>
        <v>8566802.4</v>
      </c>
      <c r="C9" s="31" t="n">
        <f aca="false">Model!$E$9*(C$5*12+Model!$E$14*$A9*(1-Assumptions!$E$12)^2*Assumptions!$E$13*Assumptions!$E$14)*(1-Assumptions!$E$17*Assumptions!$E$18)+Model!$E$27</f>
        <v>9358802.4</v>
      </c>
      <c r="D9" s="31" t="n">
        <f aca="false">Model!$E$9*(D$5*12+Model!$E$14*$A9*(1-Assumptions!$E$12)^2*Assumptions!$E$13*Assumptions!$E$14)*(1-Assumptions!$E$17*Assumptions!$E$18)+Model!$E$27</f>
        <v>10150802.4</v>
      </c>
      <c r="E9" s="31" t="n">
        <f aca="false">Model!$E$9*(E$5*12+Model!$E$14*$A9*(1-Assumptions!$E$12)^2*Assumptions!$E$13*Assumptions!$E$14)*(1-Assumptions!$E$17*Assumptions!$E$18)+Model!$E$27</f>
        <v>10942802.4</v>
      </c>
      <c r="F9" s="31" t="n">
        <f aca="false">Model!$E$9*(F$5*12+Model!$E$14*$A9*(1-Assumptions!$E$12)^2*Assumptions!$E$13*Assumptions!$E$14)*(1-Assumptions!$E$17*Assumptions!$E$18)+Model!$E$27</f>
        <v>11734802.4</v>
      </c>
    </row>
    <row r="10" customFormat="false" ht="15" hidden="false" customHeight="false" outlineLevel="0" collapsed="false">
      <c r="A10" s="41" t="n">
        <v>0.06</v>
      </c>
      <c r="B10" s="31" t="n">
        <f aca="false">Model!$E$9*(B$5*12+Model!$E$14*$A10*(1-Assumptions!$E$12)^2*Assumptions!$E$13*Assumptions!$E$14)*(1-Assumptions!$E$17*Assumptions!$E$18)+Model!$E$27</f>
        <v>11691123.6</v>
      </c>
      <c r="C10" s="31" t="n">
        <f aca="false">Model!$E$9*(C$5*12+Model!$E$14*$A10*(1-Assumptions!$E$12)^2*Assumptions!$E$13*Assumptions!$E$14)*(1-Assumptions!$E$17*Assumptions!$E$18)+Model!$E$27</f>
        <v>12483123.6</v>
      </c>
      <c r="D10" s="31" t="n">
        <f aca="false">Model!$E$9*(D$5*12+Model!$E$14*$A10*(1-Assumptions!$E$12)^2*Assumptions!$E$13*Assumptions!$E$14)*(1-Assumptions!$E$17*Assumptions!$E$18)+Model!$E$27</f>
        <v>13275123.6</v>
      </c>
      <c r="E10" s="31" t="n">
        <f aca="false">Model!$E$9*(E$5*12+Model!$E$14*$A10*(1-Assumptions!$E$12)^2*Assumptions!$E$13*Assumptions!$E$14)*(1-Assumptions!$E$17*Assumptions!$E$18)+Model!$E$27</f>
        <v>14067123.6</v>
      </c>
      <c r="F10" s="31" t="n">
        <f aca="false">Model!$E$9*(F$5*12+Model!$E$14*$A10*(1-Assumptions!$E$12)^2*Assumptions!$E$13*Assumptions!$E$14)*(1-Assumptions!$E$17*Assumptions!$E$18)+Model!$E$27</f>
        <v>14859123.6</v>
      </c>
    </row>
    <row r="11" customFormat="false" ht="15" hidden="false" customHeight="false" outlineLevel="0" collapsed="false">
      <c r="A11" s="41" t="n">
        <v>0.08</v>
      </c>
      <c r="B11" s="31" t="n">
        <f aca="false">Model!$E$9*(B$5*12+Model!$E$14*$A11*(1-Assumptions!$E$12)^2*Assumptions!$E$13*Assumptions!$E$14)*(1-Assumptions!$E$17*Assumptions!$E$18)+Model!$E$27</f>
        <v>14815444.8</v>
      </c>
      <c r="C11" s="31" t="n">
        <f aca="false">Model!$E$9*(C$5*12+Model!$E$14*$A11*(1-Assumptions!$E$12)^2*Assumptions!$E$13*Assumptions!$E$14)*(1-Assumptions!$E$17*Assumptions!$E$18)+Model!$E$27</f>
        <v>15607444.8</v>
      </c>
      <c r="D11" s="31" t="n">
        <f aca="false">Model!$E$9*(D$5*12+Model!$E$14*$A11*(1-Assumptions!$E$12)^2*Assumptions!$E$13*Assumptions!$E$14)*(1-Assumptions!$E$17*Assumptions!$E$18)+Model!$E$27</f>
        <v>16399444.8</v>
      </c>
      <c r="E11" s="31" t="n">
        <f aca="false">Model!$E$9*(E$5*12+Model!$E$14*$A11*(1-Assumptions!$E$12)^2*Assumptions!$E$13*Assumptions!$E$14)*(1-Assumptions!$E$17*Assumptions!$E$18)+Model!$E$27</f>
        <v>17191444.8</v>
      </c>
      <c r="F11" s="31" t="n">
        <f aca="false">Model!$E$9*(F$5*12+Model!$E$14*$A11*(1-Assumptions!$E$12)^2*Assumptions!$E$13*Assumptions!$E$14)*(1-Assumptions!$E$17*Assumptions!$E$18)+Model!$E$27</f>
        <v>17983444.8</v>
      </c>
    </row>
    <row r="12" customFormat="false" ht="15" hidden="false" customHeight="false" outlineLevel="0" collapsed="false">
      <c r="A12" s="41" t="n">
        <v>0.1</v>
      </c>
      <c r="B12" s="31" t="n">
        <f aca="false">Model!$E$9*(B$5*12+Model!$E$14*$A12*(1-Assumptions!$E$12)^2*Assumptions!$E$13*Assumptions!$E$14)*(1-Assumptions!$E$17*Assumptions!$E$18)+Model!$E$27</f>
        <v>17939766</v>
      </c>
      <c r="C12" s="31" t="n">
        <f aca="false">Model!$E$9*(C$5*12+Model!$E$14*$A12*(1-Assumptions!$E$12)^2*Assumptions!$E$13*Assumptions!$E$14)*(1-Assumptions!$E$17*Assumptions!$E$18)+Model!$E$27</f>
        <v>18731766</v>
      </c>
      <c r="D12" s="31" t="n">
        <f aca="false">Model!$E$9*(D$5*12+Model!$E$14*$A12*(1-Assumptions!$E$12)^2*Assumptions!$E$13*Assumptions!$E$14)*(1-Assumptions!$E$17*Assumptions!$E$18)+Model!$E$27</f>
        <v>19523766</v>
      </c>
      <c r="E12" s="31" t="n">
        <f aca="false">Model!$E$9*(E$5*12+Model!$E$14*$A12*(1-Assumptions!$E$12)^2*Assumptions!$E$13*Assumptions!$E$14)*(1-Assumptions!$E$17*Assumptions!$E$18)+Model!$E$27</f>
        <v>20315766</v>
      </c>
      <c r="F12" s="31" t="n">
        <f aca="false">Model!$E$9*(F$5*12+Model!$E$14*$A12*(1-Assumptions!$E$12)^2*Assumptions!$E$13*Assumptions!$E$14)*(1-Assumptions!$E$17*Assumptions!$E$18)+Model!$E$27</f>
        <v>21107766</v>
      </c>
    </row>
    <row r="13" customFormat="false" ht="15" hidden="false" customHeight="false" outlineLevel="0" collapsed="false">
      <c r="A13" s="2"/>
      <c r="B13" s="2"/>
      <c r="C13" s="2"/>
      <c r="D13" s="2"/>
      <c r="E13" s="2"/>
      <c r="F13" s="2"/>
    </row>
    <row r="14" customFormat="false" ht="15" hidden="false" customHeight="false" outlineLevel="0" collapsed="false">
      <c r="A14" s="2"/>
      <c r="B14" s="2"/>
      <c r="C14" s="2"/>
      <c r="D14" s="2"/>
      <c r="E14" s="2"/>
      <c r="F14" s="2"/>
    </row>
    <row r="15" customFormat="false" ht="15" hidden="false" customHeight="false" outlineLevel="0" collapsed="false">
      <c r="A15" s="4" t="s">
        <v>185</v>
      </c>
      <c r="B15" s="2"/>
      <c r="C15" s="2"/>
      <c r="D15" s="2"/>
      <c r="E15" s="2"/>
      <c r="F15" s="2"/>
    </row>
    <row r="16" customFormat="false" ht="15" hidden="false" customHeight="false" outlineLevel="0" collapsed="false">
      <c r="A16" s="3" t="s">
        <v>184</v>
      </c>
      <c r="B16" s="40" t="n">
        <v>99</v>
      </c>
      <c r="C16" s="40" t="n">
        <v>149</v>
      </c>
      <c r="D16" s="40" t="n">
        <v>199</v>
      </c>
      <c r="E16" s="40" t="n">
        <v>249</v>
      </c>
      <c r="F16" s="40" t="n">
        <v>299</v>
      </c>
    </row>
    <row r="17" customFormat="false" ht="15" hidden="false" customHeight="false" outlineLevel="0" collapsed="false">
      <c r="A17" s="41" t="n">
        <v>0.01</v>
      </c>
      <c r="B17" s="31" t="n">
        <f aca="false">Model!$E$9*(B$16*12+Model!$E$14*$A17*(1-Assumptions!$E$12)^2*Assumptions!$E$13*Assumptions!$E$14)*(1-Assumptions!$E$17*Assumptions!$E$18)+Model!$E$27-Model!$E$30+Model!$E$54</f>
        <v>840320.6</v>
      </c>
      <c r="C17" s="31" t="n">
        <f aca="false">Model!$E$9*(C$16*12+Model!$E$14*$A17*(1-Assumptions!$E$12)^2*Assumptions!$E$13*Assumptions!$E$14)*(1-Assumptions!$E$17*Assumptions!$E$18)+Model!$E$27-Model!$E$30+Model!$E$54</f>
        <v>1632320.6</v>
      </c>
      <c r="D17" s="31" t="n">
        <f aca="false">Model!$E$9*(D$16*12+Model!$E$14*$A17*(1-Assumptions!$E$12)^2*Assumptions!$E$13*Assumptions!$E$14)*(1-Assumptions!$E$17*Assumptions!$E$18)+Model!$E$27-Model!$E$30+Model!$E$54</f>
        <v>2424320.6</v>
      </c>
      <c r="E17" s="31" t="n">
        <f aca="false">Model!$E$9*(E$16*12+Model!$E$14*$A17*(1-Assumptions!$E$12)^2*Assumptions!$E$13*Assumptions!$E$14)*(1-Assumptions!$E$17*Assumptions!$E$18)+Model!$E$27-Model!$E$30+Model!$E$54</f>
        <v>3216320.6</v>
      </c>
      <c r="F17" s="31" t="n">
        <f aca="false">Model!$E$9*(F$16*12+Model!$E$14*$A17*(1-Assumptions!$E$12)^2*Assumptions!$E$13*Assumptions!$E$14)*(1-Assumptions!$E$17*Assumptions!$E$18)+Model!$E$27-Model!$E$30+Model!$E$54</f>
        <v>4008320.6</v>
      </c>
    </row>
    <row r="18" customFormat="false" ht="15" hidden="false" customHeight="false" outlineLevel="0" collapsed="false">
      <c r="A18" s="41" t="n">
        <v>0.02</v>
      </c>
      <c r="B18" s="31" t="n">
        <f aca="false">Model!$E$9*(B$16*12+Model!$E$14*$A18*(1-Assumptions!$E$12)^2*Assumptions!$E$13*Assumptions!$E$14)*(1-Assumptions!$E$17*Assumptions!$E$18)+Model!$E$27-Model!$E$30+Model!$E$54</f>
        <v>2402481.2</v>
      </c>
      <c r="C18" s="31" t="n">
        <f aca="false">Model!$E$9*(C$16*12+Model!$E$14*$A18*(1-Assumptions!$E$12)^2*Assumptions!$E$13*Assumptions!$E$14)*(1-Assumptions!$E$17*Assumptions!$E$18)+Model!$E$27-Model!$E$30+Model!$E$54</f>
        <v>3194481.2</v>
      </c>
      <c r="D18" s="31" t="n">
        <f aca="false">Model!$E$9*(D$16*12+Model!$E$14*$A18*(1-Assumptions!$E$12)^2*Assumptions!$E$13*Assumptions!$E$14)*(1-Assumptions!$E$17*Assumptions!$E$18)+Model!$E$27-Model!$E$30+Model!$E$54</f>
        <v>3986481.2</v>
      </c>
      <c r="E18" s="31" t="n">
        <f aca="false">Model!$E$9*(E$16*12+Model!$E$14*$A18*(1-Assumptions!$E$12)^2*Assumptions!$E$13*Assumptions!$E$14)*(1-Assumptions!$E$17*Assumptions!$E$18)+Model!$E$27-Model!$E$30+Model!$E$54</f>
        <v>4778481.2</v>
      </c>
      <c r="F18" s="31" t="n">
        <f aca="false">Model!$E$9*(F$16*12+Model!$E$14*$A18*(1-Assumptions!$E$12)^2*Assumptions!$E$13*Assumptions!$E$14)*(1-Assumptions!$E$17*Assumptions!$E$18)+Model!$E$27-Model!$E$30+Model!$E$54</f>
        <v>5570481.2</v>
      </c>
    </row>
    <row r="19" customFormat="false" ht="15" hidden="false" customHeight="false" outlineLevel="0" collapsed="false">
      <c r="A19" s="41" t="n">
        <v>0.03</v>
      </c>
      <c r="B19" s="31" t="n">
        <f aca="false">Model!$E$9*(B$16*12+Model!$E$14*$A19*(1-Assumptions!$E$12)^2*Assumptions!$E$13*Assumptions!$E$14)*(1-Assumptions!$E$17*Assumptions!$E$18)+Model!$E$27-Model!$E$30+Model!$E$54</f>
        <v>3964641.8</v>
      </c>
      <c r="C19" s="31" t="n">
        <f aca="false">Model!$E$9*(C$16*12+Model!$E$14*$A19*(1-Assumptions!$E$12)^2*Assumptions!$E$13*Assumptions!$E$14)*(1-Assumptions!$E$17*Assumptions!$E$18)+Model!$E$27-Model!$E$30+Model!$E$54</f>
        <v>4756641.8</v>
      </c>
      <c r="D19" s="31" t="n">
        <f aca="false">Model!$E$9*(D$16*12+Model!$E$14*$A19*(1-Assumptions!$E$12)^2*Assumptions!$E$13*Assumptions!$E$14)*(1-Assumptions!$E$17*Assumptions!$E$18)+Model!$E$27-Model!$E$30+Model!$E$54</f>
        <v>5548641.8</v>
      </c>
      <c r="E19" s="31" t="n">
        <f aca="false">Model!$E$9*(E$16*12+Model!$E$14*$A19*(1-Assumptions!$E$12)^2*Assumptions!$E$13*Assumptions!$E$14)*(1-Assumptions!$E$17*Assumptions!$E$18)+Model!$E$27-Model!$E$30+Model!$E$54</f>
        <v>6340641.8</v>
      </c>
      <c r="F19" s="31" t="n">
        <f aca="false">Model!$E$9*(F$16*12+Model!$E$14*$A19*(1-Assumptions!$E$12)^2*Assumptions!$E$13*Assumptions!$E$14)*(1-Assumptions!$E$17*Assumptions!$E$18)+Model!$E$27-Model!$E$30+Model!$E$54</f>
        <v>7132641.8</v>
      </c>
    </row>
    <row r="20" customFormat="false" ht="15" hidden="false" customHeight="false" outlineLevel="0" collapsed="false">
      <c r="A20" s="41" t="n">
        <v>0.04</v>
      </c>
      <c r="B20" s="31" t="n">
        <f aca="false">Model!$E$9*(B$16*12+Model!$E$14*$A20*(1-Assumptions!$E$12)^2*Assumptions!$E$13*Assumptions!$E$14)*(1-Assumptions!$E$17*Assumptions!$E$18)+Model!$E$27-Model!$E$30+Model!$E$54</f>
        <v>5526802.4</v>
      </c>
      <c r="C20" s="31" t="n">
        <f aca="false">Model!$E$9*(C$16*12+Model!$E$14*$A20*(1-Assumptions!$E$12)^2*Assumptions!$E$13*Assumptions!$E$14)*(1-Assumptions!$E$17*Assumptions!$E$18)+Model!$E$27-Model!$E$30+Model!$E$54</f>
        <v>6318802.4</v>
      </c>
      <c r="D20" s="31" t="n">
        <f aca="false">Model!$E$9*(D$16*12+Model!$E$14*$A20*(1-Assumptions!$E$12)^2*Assumptions!$E$13*Assumptions!$E$14)*(1-Assumptions!$E$17*Assumptions!$E$18)+Model!$E$27-Model!$E$30+Model!$E$54</f>
        <v>7110802.4</v>
      </c>
      <c r="E20" s="31" t="n">
        <f aca="false">Model!$E$9*(E$16*12+Model!$E$14*$A20*(1-Assumptions!$E$12)^2*Assumptions!$E$13*Assumptions!$E$14)*(1-Assumptions!$E$17*Assumptions!$E$18)+Model!$E$27-Model!$E$30+Model!$E$54</f>
        <v>7902802.4</v>
      </c>
      <c r="F20" s="31" t="n">
        <f aca="false">Model!$E$9*(F$16*12+Model!$E$14*$A20*(1-Assumptions!$E$12)^2*Assumptions!$E$13*Assumptions!$E$14)*(1-Assumptions!$E$17*Assumptions!$E$18)+Model!$E$27-Model!$E$30+Model!$E$54</f>
        <v>8694802.4</v>
      </c>
    </row>
    <row r="21" customFormat="false" ht="15" hidden="false" customHeight="false" outlineLevel="0" collapsed="false">
      <c r="A21" s="41" t="n">
        <v>0.06</v>
      </c>
      <c r="B21" s="31" t="n">
        <f aca="false">Model!$E$9*(B$16*12+Model!$E$14*$A21*(1-Assumptions!$E$12)^2*Assumptions!$E$13*Assumptions!$E$14)*(1-Assumptions!$E$17*Assumptions!$E$18)+Model!$E$27-Model!$E$30+Model!$E$54</f>
        <v>8651123.6</v>
      </c>
      <c r="C21" s="31" t="n">
        <f aca="false">Model!$E$9*(C$16*12+Model!$E$14*$A21*(1-Assumptions!$E$12)^2*Assumptions!$E$13*Assumptions!$E$14)*(1-Assumptions!$E$17*Assumptions!$E$18)+Model!$E$27-Model!$E$30+Model!$E$54</f>
        <v>9443123.6</v>
      </c>
      <c r="D21" s="31" t="n">
        <f aca="false">Model!$E$9*(D$16*12+Model!$E$14*$A21*(1-Assumptions!$E$12)^2*Assumptions!$E$13*Assumptions!$E$14)*(1-Assumptions!$E$17*Assumptions!$E$18)+Model!$E$27-Model!$E$30+Model!$E$54</f>
        <v>10235123.6</v>
      </c>
      <c r="E21" s="31" t="n">
        <f aca="false">Model!$E$9*(E$16*12+Model!$E$14*$A21*(1-Assumptions!$E$12)^2*Assumptions!$E$13*Assumptions!$E$14)*(1-Assumptions!$E$17*Assumptions!$E$18)+Model!$E$27-Model!$E$30+Model!$E$54</f>
        <v>11027123.6</v>
      </c>
      <c r="F21" s="31" t="n">
        <f aca="false">Model!$E$9*(F$16*12+Model!$E$14*$A21*(1-Assumptions!$E$12)^2*Assumptions!$E$13*Assumptions!$E$14)*(1-Assumptions!$E$17*Assumptions!$E$18)+Model!$E$27-Model!$E$30+Model!$E$54</f>
        <v>11819123.6</v>
      </c>
    </row>
    <row r="22" customFormat="false" ht="15" hidden="false" customHeight="false" outlineLevel="0" collapsed="false">
      <c r="A22" s="41" t="n">
        <v>0.08</v>
      </c>
      <c r="B22" s="31" t="n">
        <f aca="false">Model!$E$9*(B$16*12+Model!$E$14*$A22*(1-Assumptions!$E$12)^2*Assumptions!$E$13*Assumptions!$E$14)*(1-Assumptions!$E$17*Assumptions!$E$18)+Model!$E$27-Model!$E$30+Model!$E$54</f>
        <v>11775444.8</v>
      </c>
      <c r="C22" s="31" t="n">
        <f aca="false">Model!$E$9*(C$16*12+Model!$E$14*$A22*(1-Assumptions!$E$12)^2*Assumptions!$E$13*Assumptions!$E$14)*(1-Assumptions!$E$17*Assumptions!$E$18)+Model!$E$27-Model!$E$30+Model!$E$54</f>
        <v>12567444.8</v>
      </c>
      <c r="D22" s="31" t="n">
        <f aca="false">Model!$E$9*(D$16*12+Model!$E$14*$A22*(1-Assumptions!$E$12)^2*Assumptions!$E$13*Assumptions!$E$14)*(1-Assumptions!$E$17*Assumptions!$E$18)+Model!$E$27-Model!$E$30+Model!$E$54</f>
        <v>13359444.8</v>
      </c>
      <c r="E22" s="31" t="n">
        <f aca="false">Model!$E$9*(E$16*12+Model!$E$14*$A22*(1-Assumptions!$E$12)^2*Assumptions!$E$13*Assumptions!$E$14)*(1-Assumptions!$E$17*Assumptions!$E$18)+Model!$E$27-Model!$E$30+Model!$E$54</f>
        <v>14151444.8</v>
      </c>
      <c r="F22" s="31" t="n">
        <f aca="false">Model!$E$9*(F$16*12+Model!$E$14*$A22*(1-Assumptions!$E$12)^2*Assumptions!$E$13*Assumptions!$E$14)*(1-Assumptions!$E$17*Assumptions!$E$18)+Model!$E$27-Model!$E$30+Model!$E$54</f>
        <v>14943444.8</v>
      </c>
    </row>
    <row r="23" customFormat="false" ht="15" hidden="false" customHeight="false" outlineLevel="0" collapsed="false">
      <c r="A23" s="41" t="n">
        <v>0.1</v>
      </c>
      <c r="B23" s="31" t="n">
        <f aca="false">Model!$E$9*(B$16*12+Model!$E$14*$A23*(1-Assumptions!$E$12)^2*Assumptions!$E$13*Assumptions!$E$14)*(1-Assumptions!$E$17*Assumptions!$E$18)+Model!$E$27-Model!$E$30+Model!$E$54</f>
        <v>14899766</v>
      </c>
      <c r="C23" s="31" t="n">
        <f aca="false">Model!$E$9*(C$16*12+Model!$E$14*$A23*(1-Assumptions!$E$12)^2*Assumptions!$E$13*Assumptions!$E$14)*(1-Assumptions!$E$17*Assumptions!$E$18)+Model!$E$27-Model!$E$30+Model!$E$54</f>
        <v>15691766</v>
      </c>
      <c r="D23" s="31" t="n">
        <f aca="false">Model!$E$9*(D$16*12+Model!$E$14*$A23*(1-Assumptions!$E$12)^2*Assumptions!$E$13*Assumptions!$E$14)*(1-Assumptions!$E$17*Assumptions!$E$18)+Model!$E$27-Model!$E$30+Model!$E$54</f>
        <v>16483766</v>
      </c>
      <c r="E23" s="31" t="n">
        <f aca="false">Model!$E$9*(E$16*12+Model!$E$14*$A23*(1-Assumptions!$E$12)^2*Assumptions!$E$13*Assumptions!$E$14)*(1-Assumptions!$E$17*Assumptions!$E$18)+Model!$E$27-Model!$E$30+Model!$E$54</f>
        <v>17275766</v>
      </c>
      <c r="F23" s="31" t="n">
        <f aca="false">Model!$E$9*(F$16*12+Model!$E$14*$A23*(1-Assumptions!$E$12)^2*Assumptions!$E$13*Assumptions!$E$14)*(1-Assumptions!$E$17*Assumptions!$E$18)+Model!$E$27-Model!$E$30+Model!$E$54</f>
        <v>18067766</v>
      </c>
    </row>
    <row r="24" customFormat="false" ht="15" hidden="false" customHeight="false" outlineLevel="0" collapsed="false">
      <c r="A24" s="2"/>
      <c r="B24" s="2"/>
      <c r="C24" s="2"/>
      <c r="D24" s="2"/>
      <c r="E24" s="2"/>
      <c r="F24" s="2"/>
    </row>
    <row r="25" customFormat="false" ht="15" hidden="false" customHeight="false" outlineLevel="0" collapsed="false">
      <c r="A25" s="3" t="s">
        <v>186</v>
      </c>
      <c r="B25" s="2"/>
      <c r="C25" s="2"/>
      <c r="D25" s="2"/>
      <c r="E25" s="2"/>
      <c r="F2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5"/>
    <col collapsed="false" customWidth="true" hidden="false" outlineLevel="0" max="2" min="2" style="0" width="90"/>
  </cols>
  <sheetData>
    <row r="1" customFormat="false" ht="17.35" hidden="false" customHeight="false" outlineLevel="0" collapsed="false">
      <c r="A1" s="1" t="s">
        <v>187</v>
      </c>
      <c r="B1" s="2"/>
    </row>
    <row r="2" customFormat="false" ht="15" hidden="false" customHeight="false" outlineLevel="0" collapsed="false">
      <c r="A2" s="2"/>
      <c r="B2" s="2"/>
    </row>
    <row r="3" customFormat="false" ht="15" hidden="false" customHeight="false" outlineLevel="0" collapsed="false">
      <c r="A3" s="42" t="s">
        <v>188</v>
      </c>
      <c r="B3" s="42" t="s">
        <v>189</v>
      </c>
    </row>
    <row r="4" customFormat="false" ht="15" hidden="false" customHeight="false" outlineLevel="0" collapsed="false">
      <c r="A4" s="8" t="s">
        <v>190</v>
      </c>
      <c r="B4" s="43" t="s">
        <v>191</v>
      </c>
    </row>
    <row r="5" customFormat="false" ht="15" hidden="false" customHeight="false" outlineLevel="0" collapsed="false">
      <c r="A5" s="8" t="s">
        <v>192</v>
      </c>
      <c r="B5" s="43" t="s">
        <v>193</v>
      </c>
    </row>
    <row r="6" customFormat="false" ht="15" hidden="false" customHeight="false" outlineLevel="0" collapsed="false">
      <c r="A6" s="8" t="s">
        <v>194</v>
      </c>
      <c r="B6" s="43" t="s">
        <v>195</v>
      </c>
    </row>
    <row r="7" customFormat="false" ht="15" hidden="false" customHeight="false" outlineLevel="0" collapsed="false">
      <c r="A7" s="8" t="s">
        <v>196</v>
      </c>
      <c r="B7" s="43" t="s">
        <v>197</v>
      </c>
    </row>
    <row r="8" customFormat="false" ht="15" hidden="false" customHeight="false" outlineLevel="0" collapsed="false">
      <c r="A8" s="8" t="s">
        <v>198</v>
      </c>
      <c r="B8" s="43" t="s">
        <v>199</v>
      </c>
    </row>
    <row r="9" customFormat="false" ht="15" hidden="false" customHeight="false" outlineLevel="0" collapsed="false">
      <c r="A9" s="8" t="s">
        <v>200</v>
      </c>
      <c r="B9" s="43" t="s">
        <v>201</v>
      </c>
    </row>
    <row r="10" customFormat="false" ht="15" hidden="false" customHeight="false" outlineLevel="0" collapsed="false">
      <c r="A10" s="8" t="s">
        <v>202</v>
      </c>
      <c r="B10" s="43" t="s">
        <v>203</v>
      </c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4" t="s">
        <v>204</v>
      </c>
      <c r="B12" s="2"/>
    </row>
    <row r="13" customFormat="false" ht="15" hidden="false" customHeight="false" outlineLevel="0" collapsed="false">
      <c r="A13" s="8" t="s">
        <v>205</v>
      </c>
      <c r="B13" s="2"/>
    </row>
    <row r="14" customFormat="false" ht="15" hidden="false" customHeight="false" outlineLevel="0" collapsed="false">
      <c r="A14" s="8" t="s">
        <v>206</v>
      </c>
      <c r="B14" s="2"/>
    </row>
    <row r="15" customFormat="false" ht="15" hidden="false" customHeight="false" outlineLevel="0" collapsed="false">
      <c r="A15" s="8" t="s">
        <v>207</v>
      </c>
      <c r="B15" s="2"/>
    </row>
    <row r="16" customFormat="false" ht="15" hidden="false" customHeight="false" outlineLevel="0" collapsed="false">
      <c r="A16" s="8" t="s">
        <v>208</v>
      </c>
      <c r="B16" s="2"/>
    </row>
    <row r="17" customFormat="false" ht="15" hidden="false" customHeight="false" outlineLevel="0" collapsed="false">
      <c r="A17" s="8" t="s">
        <v>209</v>
      </c>
      <c r="B17" s="2"/>
    </row>
  </sheetData>
  <hyperlinks>
    <hyperlink ref="B4" r:id="rId1" display="https://www.ncpa.co/pdf/2026/advocacy/mtfsurveyletter.pdf"/>
    <hyperlink ref="B5" r:id="rId2" display="https://www.prnewswire.com/news-releases/plenful-unveils-mfp-command-center-to-help-health-systems-recover-up-to-20-in-missing-medicare-drug-price-refunds-302737691.html"/>
    <hyperlink ref="B6" r:id="rId3" display="https://ncpa.org/newsroom/qam/2026/08/27/340b-miscategorization-stealing-your-mfp-refunds"/>
    <hyperlink ref="B7" r:id="rId4" display="https://www.kff.org/medicare/key-facts-about-medicare-drug-price-negotiation/"/>
    <hyperlink ref="B8" r:id="rId5" display="https://www.cms.gov/files/document/pharmacy-dispensing-entity-mtf-fact-sheet.pdf"/>
    <hyperlink ref="B9" r:id="rId6" display="https://mfp.support.beaconchannelmanagement.com/en/articles/12313677-frequently-asked-questions"/>
    <hyperlink ref="B10" r:id="rId7" display="https://schaeffer.usc.edu/research/medicare-drug-prices-mfp-effectuation/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2026-09-28T17:42:03Z</dcterms:created>
  <dc:creator>openpyxl</dc:creator>
  <dc:description/>
  <dc:language>en-US</dc:language>
  <cp:lastModifiedBy/>
  <dcterms:modified xsi:type="dcterms:W3CDTF">2026-09-28T17:42:03Z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